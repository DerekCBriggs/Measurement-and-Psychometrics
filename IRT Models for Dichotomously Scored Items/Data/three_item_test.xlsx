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briggsd/Library/CloudStorage/Dropbox/Courses/EDUC 8720/Handouts &amp; Activities/"/>
    </mc:Choice>
  </mc:AlternateContent>
  <xr:revisionPtr revIDLastSave="0" documentId="8_{76CAD71C-BFC7-604A-B9EB-2BE4B0C825BC}" xr6:coauthVersionLast="47" xr6:coauthVersionMax="47" xr10:uidLastSave="{00000000-0000-0000-0000-000000000000}"/>
  <bookViews>
    <workbookView xWindow="4000" yWindow="760" windowWidth="25600" windowHeight="19940" tabRatio="500" activeTab="1" xr2:uid="{00000000-000D-0000-FFFF-FFFF00000000}"/>
  </bookViews>
  <sheets>
    <sheet name="threeItems" sheetId="2" r:id="rId1"/>
    <sheet name="Soln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15" i="1"/>
  <c r="B9" i="1" a="1"/>
  <c r="D11" i="1" s="1"/>
  <c r="B9" i="2" a="1"/>
  <c r="D9" i="2" s="1"/>
  <c r="B9" i="2"/>
  <c r="C11" i="2"/>
  <c r="D18" i="1" l="1"/>
  <c r="H18" i="1" s="1"/>
  <c r="D26" i="1"/>
  <c r="H26" i="1" s="1"/>
  <c r="D17" i="1"/>
  <c r="H17" i="1" s="1"/>
  <c r="D25" i="1"/>
  <c r="H25" i="1" s="1"/>
  <c r="D41" i="1"/>
  <c r="H41" i="1" s="1"/>
  <c r="D42" i="1"/>
  <c r="H42" i="1" s="1"/>
  <c r="D43" i="1"/>
  <c r="H43" i="1" s="1"/>
  <c r="D44" i="1"/>
  <c r="H44" i="1" s="1"/>
  <c r="D51" i="1"/>
  <c r="H51" i="1" s="1"/>
  <c r="D52" i="1"/>
  <c r="H52" i="1" s="1"/>
  <c r="D53" i="1"/>
  <c r="H53" i="1" s="1"/>
  <c r="D54" i="1"/>
  <c r="H54" i="1" s="1"/>
  <c r="D32" i="1"/>
  <c r="H32" i="1" s="1"/>
  <c r="D16" i="1"/>
  <c r="H16" i="1" s="1"/>
  <c r="D21" i="1"/>
  <c r="H21" i="1" s="1"/>
  <c r="D31" i="1"/>
  <c r="H31" i="1" s="1"/>
  <c r="D30" i="1"/>
  <c r="H30" i="1" s="1"/>
  <c r="C10" i="1"/>
  <c r="C9" i="2"/>
  <c r="B9" i="1"/>
  <c r="C9" i="1"/>
  <c r="C11" i="1"/>
  <c r="D11" i="2"/>
  <c r="B11" i="2"/>
  <c r="B11" i="1"/>
  <c r="D10" i="2"/>
  <c r="B10" i="1"/>
  <c r="C10" i="2"/>
  <c r="D9" i="1"/>
  <c r="D20" i="1" s="1"/>
  <c r="H20" i="1" s="1"/>
  <c r="B10" i="2"/>
  <c r="D10" i="1"/>
  <c r="D27" i="1" s="1"/>
  <c r="H27" i="1" s="1"/>
  <c r="D50" i="1" l="1"/>
  <c r="H50" i="1" s="1"/>
  <c r="D49" i="1"/>
  <c r="H49" i="1" s="1"/>
  <c r="C20" i="1"/>
  <c r="G20" i="1" s="1"/>
  <c r="C18" i="1"/>
  <c r="G18" i="1" s="1"/>
  <c r="K18" i="1" s="1"/>
  <c r="C26" i="1"/>
  <c r="G26" i="1" s="1"/>
  <c r="K26" i="1" s="1"/>
  <c r="C57" i="1"/>
  <c r="G57" i="1" s="1"/>
  <c r="C17" i="1"/>
  <c r="G17" i="1" s="1"/>
  <c r="C25" i="1"/>
  <c r="G25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K41" i="1" s="1"/>
  <c r="C42" i="1"/>
  <c r="G42" i="1" s="1"/>
  <c r="K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K51" i="1" s="1"/>
  <c r="C52" i="1"/>
  <c r="G52" i="1" s="1"/>
  <c r="K52" i="1" s="1"/>
  <c r="C53" i="1"/>
  <c r="G53" i="1" s="1"/>
  <c r="C54" i="1"/>
  <c r="G54" i="1" s="1"/>
  <c r="C55" i="1"/>
  <c r="G55" i="1" s="1"/>
  <c r="K55" i="1" s="1"/>
  <c r="C56" i="1"/>
  <c r="G56" i="1" s="1"/>
  <c r="C31" i="1"/>
  <c r="G31" i="1" s="1"/>
  <c r="C24" i="1"/>
  <c r="G24" i="1" s="1"/>
  <c r="C34" i="1"/>
  <c r="G34" i="1" s="1"/>
  <c r="C23" i="1"/>
  <c r="G23" i="1" s="1"/>
  <c r="C33" i="1"/>
  <c r="G33" i="1" s="1"/>
  <c r="C22" i="1"/>
  <c r="G22" i="1" s="1"/>
  <c r="C32" i="1"/>
  <c r="G32" i="1" s="1"/>
  <c r="K32" i="1" s="1"/>
  <c r="C16" i="1"/>
  <c r="G16" i="1" s="1"/>
  <c r="C21" i="1"/>
  <c r="G21" i="1" s="1"/>
  <c r="K21" i="1" s="1"/>
  <c r="C30" i="1"/>
  <c r="G30" i="1" s="1"/>
  <c r="C29" i="1"/>
  <c r="G29" i="1" s="1"/>
  <c r="C28" i="1"/>
  <c r="G28" i="1" s="1"/>
  <c r="C19" i="1"/>
  <c r="G19" i="1" s="1"/>
  <c r="K19" i="1" s="1"/>
  <c r="C27" i="1"/>
  <c r="G27" i="1" s="1"/>
  <c r="B32" i="1"/>
  <c r="B23" i="1"/>
  <c r="B33" i="1"/>
  <c r="B16" i="1"/>
  <c r="B24" i="1"/>
  <c r="B34" i="1"/>
  <c r="B25" i="1"/>
  <c r="B35" i="1"/>
  <c r="B26" i="1"/>
  <c r="B17" i="1"/>
  <c r="B27" i="1"/>
  <c r="B18" i="1"/>
  <c r="B28" i="1"/>
  <c r="B19" i="1"/>
  <c r="B29" i="1"/>
  <c r="B20" i="1"/>
  <c r="B30" i="1"/>
  <c r="B21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31" i="1"/>
  <c r="B22" i="1"/>
  <c r="K28" i="1"/>
  <c r="K27" i="1"/>
  <c r="K33" i="1"/>
  <c r="K17" i="1"/>
  <c r="K25" i="1"/>
  <c r="K35" i="1"/>
  <c r="K36" i="1"/>
  <c r="K37" i="1"/>
  <c r="K38" i="1"/>
  <c r="K39" i="1"/>
  <c r="K40" i="1"/>
  <c r="K43" i="1"/>
  <c r="K44" i="1"/>
  <c r="K45" i="1"/>
  <c r="K46" i="1"/>
  <c r="K47" i="1"/>
  <c r="K48" i="1"/>
  <c r="K49" i="1"/>
  <c r="K50" i="1"/>
  <c r="K53" i="1"/>
  <c r="K54" i="1"/>
  <c r="K56" i="1"/>
  <c r="K24" i="1"/>
  <c r="K34" i="1"/>
  <c r="K23" i="1"/>
  <c r="K22" i="1"/>
  <c r="K16" i="1"/>
  <c r="K31" i="1"/>
  <c r="K30" i="1"/>
  <c r="K20" i="1"/>
  <c r="K29" i="1"/>
  <c r="D40" i="1"/>
  <c r="H40" i="1" s="1"/>
  <c r="D57" i="1"/>
  <c r="H57" i="1" s="1"/>
  <c r="D22" i="1"/>
  <c r="H22" i="1" s="1"/>
  <c r="D39" i="1"/>
  <c r="H39" i="1" s="1"/>
  <c r="L21" i="1"/>
  <c r="L31" i="1"/>
  <c r="L20" i="1"/>
  <c r="L30" i="1"/>
  <c r="L18" i="1"/>
  <c r="L28" i="1"/>
  <c r="L19" i="1"/>
  <c r="L27" i="1"/>
  <c r="L26" i="1"/>
  <c r="L17" i="1"/>
  <c r="L25" i="1"/>
  <c r="L38" i="1"/>
  <c r="L39" i="1"/>
  <c r="L40" i="1"/>
  <c r="L41" i="1"/>
  <c r="L42" i="1"/>
  <c r="L43" i="1"/>
  <c r="L44" i="1"/>
  <c r="L48" i="1"/>
  <c r="L49" i="1"/>
  <c r="L50" i="1"/>
  <c r="L51" i="1"/>
  <c r="L52" i="1"/>
  <c r="L53" i="1"/>
  <c r="L54" i="1"/>
  <c r="L56" i="1"/>
  <c r="L34" i="1"/>
  <c r="L23" i="1"/>
  <c r="L33" i="1"/>
  <c r="L22" i="1"/>
  <c r="L32" i="1"/>
  <c r="L16" i="1"/>
  <c r="D33" i="1"/>
  <c r="H33" i="1" s="1"/>
  <c r="D48" i="1"/>
  <c r="H48" i="1" s="1"/>
  <c r="D38" i="1"/>
  <c r="H38" i="1" s="1"/>
  <c r="D19" i="1"/>
  <c r="H19" i="1" s="1"/>
  <c r="D23" i="1"/>
  <c r="H23" i="1" s="1"/>
  <c r="D47" i="1"/>
  <c r="H47" i="1" s="1"/>
  <c r="L47" i="1" s="1"/>
  <c r="D37" i="1"/>
  <c r="H37" i="1" s="1"/>
  <c r="L37" i="1" s="1"/>
  <c r="D28" i="1"/>
  <c r="H28" i="1" s="1"/>
  <c r="D34" i="1"/>
  <c r="H34" i="1" s="1"/>
  <c r="D56" i="1"/>
  <c r="H56" i="1" s="1"/>
  <c r="D46" i="1"/>
  <c r="H46" i="1" s="1"/>
  <c r="L46" i="1" s="1"/>
  <c r="D36" i="1"/>
  <c r="H36" i="1" s="1"/>
  <c r="L36" i="1" s="1"/>
  <c r="D24" i="1"/>
  <c r="H24" i="1" s="1"/>
  <c r="L24" i="1" s="1"/>
  <c r="D55" i="1"/>
  <c r="H55" i="1" s="1"/>
  <c r="L55" i="1" s="1"/>
  <c r="D45" i="1"/>
  <c r="H45" i="1" s="1"/>
  <c r="L45" i="1" s="1"/>
  <c r="D35" i="1"/>
  <c r="H35" i="1" s="1"/>
  <c r="L35" i="1" s="1"/>
  <c r="D29" i="1"/>
  <c r="H29" i="1" s="1"/>
  <c r="L29" i="1" s="1"/>
  <c r="E53" i="1" l="1"/>
  <c r="F53" i="1"/>
  <c r="J53" i="1" s="1"/>
  <c r="M53" i="1" s="1"/>
  <c r="E43" i="1"/>
  <c r="F43" i="1"/>
  <c r="J43" i="1" s="1"/>
  <c r="M43" i="1" s="1"/>
  <c r="F20" i="1"/>
  <c r="J20" i="1" s="1"/>
  <c r="M20" i="1" s="1"/>
  <c r="E20" i="1"/>
  <c r="F34" i="1"/>
  <c r="J34" i="1" s="1"/>
  <c r="M34" i="1" s="1"/>
  <c r="E34" i="1"/>
  <c r="F29" i="1"/>
  <c r="J29" i="1" s="1"/>
  <c r="M29" i="1" s="1"/>
  <c r="E29" i="1"/>
  <c r="F24" i="1"/>
  <c r="J24" i="1" s="1"/>
  <c r="M24" i="1" s="1"/>
  <c r="E24" i="1"/>
  <c r="E51" i="1"/>
  <c r="F51" i="1"/>
  <c r="J51" i="1" s="1"/>
  <c r="M51" i="1" s="1"/>
  <c r="E41" i="1"/>
  <c r="F41" i="1"/>
  <c r="J41" i="1" s="1"/>
  <c r="M41" i="1" s="1"/>
  <c r="E19" i="1"/>
  <c r="F19" i="1"/>
  <c r="J19" i="1" s="1"/>
  <c r="M19" i="1" s="1"/>
  <c r="D60" i="1"/>
  <c r="F16" i="1"/>
  <c r="E16" i="1"/>
  <c r="F52" i="1"/>
  <c r="J52" i="1" s="1"/>
  <c r="M52" i="1" s="1"/>
  <c r="E52" i="1"/>
  <c r="E50" i="1"/>
  <c r="F50" i="1"/>
  <c r="J50" i="1" s="1"/>
  <c r="M50" i="1" s="1"/>
  <c r="E40" i="1"/>
  <c r="F40" i="1"/>
  <c r="J40" i="1" s="1"/>
  <c r="M40" i="1" s="1"/>
  <c r="F28" i="1"/>
  <c r="J28" i="1" s="1"/>
  <c r="M28" i="1" s="1"/>
  <c r="E28" i="1"/>
  <c r="E33" i="1"/>
  <c r="F33" i="1"/>
  <c r="J33" i="1" s="1"/>
  <c r="M33" i="1" s="1"/>
  <c r="F22" i="1"/>
  <c r="J22" i="1" s="1"/>
  <c r="M22" i="1" s="1"/>
  <c r="E22" i="1"/>
  <c r="E49" i="1"/>
  <c r="F49" i="1"/>
  <c r="J49" i="1" s="1"/>
  <c r="M49" i="1" s="1"/>
  <c r="E39" i="1"/>
  <c r="F39" i="1"/>
  <c r="J39" i="1" s="1"/>
  <c r="M39" i="1" s="1"/>
  <c r="E18" i="1"/>
  <c r="F18" i="1"/>
  <c r="J18" i="1" s="1"/>
  <c r="M18" i="1" s="1"/>
  <c r="E23" i="1"/>
  <c r="F23" i="1"/>
  <c r="J23" i="1" s="1"/>
  <c r="M23" i="1" s="1"/>
  <c r="F31" i="1"/>
  <c r="J31" i="1" s="1"/>
  <c r="M31" i="1" s="1"/>
  <c r="E31" i="1"/>
  <c r="E48" i="1"/>
  <c r="F48" i="1"/>
  <c r="J48" i="1" s="1"/>
  <c r="M48" i="1" s="1"/>
  <c r="E38" i="1"/>
  <c r="F38" i="1"/>
  <c r="J38" i="1" s="1"/>
  <c r="M38" i="1" s="1"/>
  <c r="E27" i="1"/>
  <c r="F27" i="1"/>
  <c r="J27" i="1" s="1"/>
  <c r="M27" i="1" s="1"/>
  <c r="F32" i="1"/>
  <c r="J32" i="1" s="1"/>
  <c r="M32" i="1" s="1"/>
  <c r="E32" i="1"/>
  <c r="F42" i="1"/>
  <c r="J42" i="1" s="1"/>
  <c r="M42" i="1" s="1"/>
  <c r="E42" i="1"/>
  <c r="E57" i="1"/>
  <c r="D61" i="1"/>
  <c r="F57" i="1"/>
  <c r="F47" i="1"/>
  <c r="J47" i="1" s="1"/>
  <c r="M47" i="1" s="1"/>
  <c r="E47" i="1"/>
  <c r="E37" i="1"/>
  <c r="F37" i="1"/>
  <c r="J37" i="1" s="1"/>
  <c r="M37" i="1" s="1"/>
  <c r="F17" i="1"/>
  <c r="J17" i="1" s="1"/>
  <c r="M17" i="1" s="1"/>
  <c r="E17" i="1"/>
  <c r="E56" i="1"/>
  <c r="F56" i="1"/>
  <c r="J56" i="1" s="1"/>
  <c r="M56" i="1" s="1"/>
  <c r="F46" i="1"/>
  <c r="J46" i="1" s="1"/>
  <c r="M46" i="1" s="1"/>
  <c r="E46" i="1"/>
  <c r="E36" i="1"/>
  <c r="D62" i="1"/>
  <c r="F36" i="1"/>
  <c r="E26" i="1"/>
  <c r="F26" i="1"/>
  <c r="J26" i="1" s="1"/>
  <c r="M26" i="1" s="1"/>
  <c r="E55" i="1"/>
  <c r="F55" i="1"/>
  <c r="J55" i="1" s="1"/>
  <c r="M55" i="1" s="1"/>
  <c r="E45" i="1"/>
  <c r="F45" i="1"/>
  <c r="J45" i="1" s="1"/>
  <c r="M45" i="1" s="1"/>
  <c r="F21" i="1"/>
  <c r="J21" i="1" s="1"/>
  <c r="M21" i="1" s="1"/>
  <c r="E21" i="1"/>
  <c r="E35" i="1"/>
  <c r="F35" i="1"/>
  <c r="J35" i="1" s="1"/>
  <c r="M35" i="1" s="1"/>
  <c r="E54" i="1"/>
  <c r="F54" i="1"/>
  <c r="J54" i="1" s="1"/>
  <c r="M54" i="1" s="1"/>
  <c r="E44" i="1"/>
  <c r="D63" i="1"/>
  <c r="F44" i="1"/>
  <c r="F30" i="1"/>
  <c r="J30" i="1" s="1"/>
  <c r="M30" i="1" s="1"/>
  <c r="E30" i="1"/>
  <c r="E25" i="1"/>
  <c r="F25" i="1"/>
  <c r="J25" i="1" s="1"/>
  <c r="M25" i="1" s="1"/>
  <c r="B61" i="1" l="1"/>
  <c r="C61" i="1"/>
  <c r="B60" i="1"/>
  <c r="C60" i="1"/>
  <c r="J16" i="1"/>
  <c r="M16" i="1" s="1"/>
  <c r="C62" i="1"/>
  <c r="B62" i="1"/>
  <c r="J36" i="1"/>
  <c r="M36" i="1" s="1"/>
  <c r="C63" i="1"/>
  <c r="B63" i="1"/>
  <c r="J44" i="1"/>
  <c r="M44" i="1" s="1"/>
</calcChain>
</file>

<file path=xl/sharedStrings.xml><?xml version="1.0" encoding="utf-8"?>
<sst xmlns="http://schemas.openxmlformats.org/spreadsheetml/2006/main" count="36" uniqueCount="22">
  <si>
    <t>item</t>
  </si>
  <si>
    <t>a</t>
  </si>
  <si>
    <t>b</t>
  </si>
  <si>
    <t>c</t>
  </si>
  <si>
    <t>Theta</t>
  </si>
  <si>
    <t>P1</t>
  </si>
  <si>
    <t>P2</t>
  </si>
  <si>
    <t>P3</t>
  </si>
  <si>
    <t>item1</t>
  </si>
  <si>
    <t>item2</t>
  </si>
  <si>
    <t>item3</t>
  </si>
  <si>
    <t>E[TestScore]</t>
  </si>
  <si>
    <t>"111"</t>
  </si>
  <si>
    <t>"010"</t>
  </si>
  <si>
    <t>"000"</t>
  </si>
  <si>
    <t>Q1</t>
  </si>
  <si>
    <t>Q2</t>
  </si>
  <si>
    <t>Q3</t>
  </si>
  <si>
    <t>info1</t>
  </si>
  <si>
    <t>info2</t>
  </si>
  <si>
    <t>info3</t>
  </si>
  <si>
    <t>testinfo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</si>
</sst>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325421591294893E-2"/>
          <c:y val="9.8537170263788901E-2"/>
          <c:w val="0.79025158046209298"/>
          <c:h val="0.81554372250231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Solns!$B$15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Solns!$A$16:$A$56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Solns!$B$16:$B$56</c:f>
              <c:numCache>
                <c:formatCode>General</c:formatCode>
                <c:ptCount val="41"/>
                <c:pt idx="0">
                  <c:v>0.26068654401699487</c:v>
                </c:pt>
                <c:pt idx="1">
                  <c:v>0.27289836881188495</c:v>
                </c:pt>
                <c:pt idx="2">
                  <c:v>0.28727745695649037</c:v>
                </c:pt>
                <c:pt idx="3">
                  <c:v>0.30408677949039831</c:v>
                </c:pt>
                <c:pt idx="4">
                  <c:v>0.32357221206682774</c:v>
                </c:pt>
                <c:pt idx="5">
                  <c:v>0.3459404190450851</c:v>
                </c:pt>
                <c:pt idx="6">
                  <c:v>0.37133201356595313</c:v>
                </c:pt>
                <c:pt idx="7">
                  <c:v>0.39979191552390592</c:v>
                </c:pt>
                <c:pt idx="8">
                  <c:v>0.43124039789999685</c:v>
                </c:pt>
                <c:pt idx="9">
                  <c:v>0.46544978226546707</c:v>
                </c:pt>
                <c:pt idx="10">
                  <c:v>0.50203253503851641</c:v>
                </c:pt>
                <c:pt idx="11">
                  <c:v>0.54044598655067277</c:v>
                </c:pt>
                <c:pt idx="12">
                  <c:v>0.58001665001684799</c:v>
                </c:pt>
                <c:pt idx="13">
                  <c:v>0.61998334998315197</c:v>
                </c:pt>
                <c:pt idx="14">
                  <c:v>0.65955401344932718</c:v>
                </c:pt>
                <c:pt idx="15">
                  <c:v>0.69796746496148376</c:v>
                </c:pt>
                <c:pt idx="16">
                  <c:v>0.73455021773453288</c:v>
                </c:pt>
                <c:pt idx="17">
                  <c:v>0.76875960210000316</c:v>
                </c:pt>
                <c:pt idx="18">
                  <c:v>0.80020808447609415</c:v>
                </c:pt>
                <c:pt idx="19">
                  <c:v>0.82866798643404693</c:v>
                </c:pt>
                <c:pt idx="20">
                  <c:v>0.85405958095491497</c:v>
                </c:pt>
                <c:pt idx="21">
                  <c:v>0.87642778793317233</c:v>
                </c:pt>
                <c:pt idx="22">
                  <c:v>0.89591322050960165</c:v>
                </c:pt>
                <c:pt idx="23">
                  <c:v>0.91272254304350975</c:v>
                </c:pt>
                <c:pt idx="24">
                  <c:v>0.92710163118811506</c:v>
                </c:pt>
                <c:pt idx="25">
                  <c:v>0.9393134559830052</c:v>
                </c:pt>
                <c:pt idx="26">
                  <c:v>0.94962131515440285</c:v>
                </c:pt>
                <c:pt idx="27">
                  <c:v>0.95827714953726595</c:v>
                </c:pt>
                <c:pt idx="28">
                  <c:v>0.96551419604713118</c:v>
                </c:pt>
                <c:pt idx="29">
                  <c:v>0.97154304858189144</c:v>
                </c:pt>
                <c:pt idx="30">
                  <c:v>0.97655021539891518</c:v>
                </c:pt>
                <c:pt idx="31">
                  <c:v>0.98069838286586486</c:v>
                </c:pt>
                <c:pt idx="32">
                  <c:v>0.98412775541273834</c:v>
                </c:pt>
                <c:pt idx="33">
                  <c:v>0.98695800050284754</c:v>
                </c:pt>
                <c:pt idx="34">
                  <c:v>0.98929046573786827</c:v>
                </c:pt>
                <c:pt idx="35">
                  <c:v>0.99121044589552554</c:v>
                </c:pt>
                <c:pt idx="36">
                  <c:v>0.99278936107772187</c:v>
                </c:pt>
                <c:pt idx="37">
                  <c:v>0.99408676692457454</c:v>
                </c:pt>
                <c:pt idx="38">
                  <c:v>0.99515215880673291</c:v>
                </c:pt>
                <c:pt idx="39">
                  <c:v>0.9960265586799546</c:v>
                </c:pt>
                <c:pt idx="40">
                  <c:v>0.99674388982728312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0B-7A44-ACB3-9CE5F8726725}"/>
            </c:ext>
          </c:extLst>
        </c:ser>
        <c:ser>
          <c:idx val="1"/>
          <c:order val="1"/>
          <c:tx>
            <c:strRef>
              <c:f>Solns!$C$15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Solns!$A$16:$A$56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Solns!$C$16:$C$56</c:f>
              <c:numCache>
                <c:formatCode>General</c:formatCode>
                <c:ptCount val="41"/>
                <c:pt idx="0">
                  <c:v>0.21438896796967327</c:v>
                </c:pt>
                <c:pt idx="1">
                  <c:v>0.21750501674890438</c:v>
                </c:pt>
                <c:pt idx="2">
                  <c:v>0.2212775948614927</c:v>
                </c:pt>
                <c:pt idx="3">
                  <c:v>0.22583637175876042</c:v>
                </c:pt>
                <c:pt idx="4">
                  <c:v>0.23133257823741149</c:v>
                </c:pt>
                <c:pt idx="5">
                  <c:v>0.23794069854205344</c:v>
                </c:pt>
                <c:pt idx="6">
                  <c:v>0.24585934071909502</c:v>
                </c:pt>
                <c:pt idx="7">
                  <c:v>0.25531073627467749</c:v>
                </c:pt>
                <c:pt idx="8">
                  <c:v>0.2665381571951379</c:v>
                </c:pt>
                <c:pt idx="9">
                  <c:v>0.27980039129574813</c:v>
                </c:pt>
                <c:pt idx="10">
                  <c:v>0.29536233761769404</c:v>
                </c:pt>
                <c:pt idx="11">
                  <c:v>0.31348085192039021</c:v>
                </c:pt>
                <c:pt idx="12">
                  <c:v>0.33438529189286043</c:v>
                </c:pt>
                <c:pt idx="13">
                  <c:v>0.35825288915313463</c:v>
                </c:pt>
                <c:pt idx="14">
                  <c:v>0.3851801732007859</c:v>
                </c:pt>
                <c:pt idx="15">
                  <c:v>0.41515313709599611</c:v>
                </c:pt>
                <c:pt idx="16">
                  <c:v>0.44802041509791007</c:v>
                </c:pt>
                <c:pt idx="17">
                  <c:v>0.48347495501936366</c:v>
                </c:pt>
                <c:pt idx="18">
                  <c:v>0.52104987191003849</c:v>
                </c:pt>
                <c:pt idx="19">
                  <c:v>0.56013280215001782</c:v>
                </c:pt>
                <c:pt idx="20">
                  <c:v>0.60000000000000009</c:v>
                </c:pt>
                <c:pt idx="21">
                  <c:v>0.63986719784998236</c:v>
                </c:pt>
                <c:pt idx="22">
                  <c:v>0.67895012808996169</c:v>
                </c:pt>
                <c:pt idx="23">
                  <c:v>0.71652504498063641</c:v>
                </c:pt>
                <c:pt idx="24">
                  <c:v>0.75197958490209005</c:v>
                </c:pt>
                <c:pt idx="25">
                  <c:v>0.78484686290400396</c:v>
                </c:pt>
                <c:pt idx="26">
                  <c:v>0.81481982679921416</c:v>
                </c:pt>
                <c:pt idx="27">
                  <c:v>0.84174711084686549</c:v>
                </c:pt>
                <c:pt idx="28">
                  <c:v>0.8656147081071397</c:v>
                </c:pt>
                <c:pt idx="29">
                  <c:v>0.88651914807961085</c:v>
                </c:pt>
                <c:pt idx="30">
                  <c:v>0.90463766238230692</c:v>
                </c:pt>
                <c:pt idx="31">
                  <c:v>0.92019960870425277</c:v>
                </c:pt>
                <c:pt idx="32">
                  <c:v>0.93346184280486288</c:v>
                </c:pt>
                <c:pt idx="33">
                  <c:v>0.94468926372532303</c:v>
                </c:pt>
                <c:pt idx="34">
                  <c:v>0.95414065928090541</c:v>
                </c:pt>
                <c:pt idx="35">
                  <c:v>0.96205930145794705</c:v>
                </c:pt>
                <c:pt idx="36">
                  <c:v>0.96866742176258902</c:v>
                </c:pt>
                <c:pt idx="37">
                  <c:v>0.97416362824123981</c:v>
                </c:pt>
                <c:pt idx="38">
                  <c:v>0.97872240513850772</c:v>
                </c:pt>
                <c:pt idx="39">
                  <c:v>0.98249498325109585</c:v>
                </c:pt>
                <c:pt idx="40">
                  <c:v>0.98561103203032685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0B-7A44-ACB3-9CE5F8726725}"/>
            </c:ext>
          </c:extLst>
        </c:ser>
        <c:ser>
          <c:idx val="2"/>
          <c:order val="2"/>
          <c:tx>
            <c:strRef>
              <c:f>Solns!$D$15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Solns!$A$16:$A$56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Solns!$D$16:$D$56</c:f>
              <c:numCache>
                <c:formatCode>General</c:formatCode>
                <c:ptCount val="41"/>
                <c:pt idx="0">
                  <c:v>0.30015737173916329</c:v>
                </c:pt>
                <c:pt idx="1">
                  <c:v>0.30023474509132653</c:v>
                </c:pt>
                <c:pt idx="2">
                  <c:v>0.3003501407749557</c:v>
                </c:pt>
                <c:pt idx="3">
                  <c:v>0.30052222018368568</c:v>
                </c:pt>
                <c:pt idx="4">
                  <c:v>0.30077877522300223</c:v>
                </c:pt>
                <c:pt idx="5">
                  <c:v>0.30116116075612209</c:v>
                </c:pt>
                <c:pt idx="6">
                  <c:v>0.3017308362096443</c:v>
                </c:pt>
                <c:pt idx="7">
                  <c:v>0.3025789679296052</c:v>
                </c:pt>
                <c:pt idx="8">
                  <c:v>0.30384040922961525</c:v>
                </c:pt>
                <c:pt idx="9">
                  <c:v>0.30571379980721192</c:v>
                </c:pt>
                <c:pt idx="10">
                  <c:v>0.30848990448899194</c:v>
                </c:pt>
                <c:pt idx="11">
                  <c:v>0.31259034697346411</c:v>
                </c:pt>
                <c:pt idx="12">
                  <c:v>0.31861789550380609</c:v>
                </c:pt>
                <c:pt idx="13">
                  <c:v>0.32741600595773507</c:v>
                </c:pt>
                <c:pt idx="14">
                  <c:v>0.34012692312920811</c:v>
                </c:pt>
                <c:pt idx="15">
                  <c:v>0.35822088754574566</c:v>
                </c:pt>
                <c:pt idx="16">
                  <c:v>0.38344204541548227</c:v>
                </c:pt>
                <c:pt idx="17">
                  <c:v>0.41758713040625284</c:v>
                </c:pt>
                <c:pt idx="18">
                  <c:v>0.46203265155068762</c:v>
                </c:pt>
                <c:pt idx="19">
                  <c:v>0.51701786321067122</c:v>
                </c:pt>
                <c:pt idx="20">
                  <c:v>0.58091863792128362</c:v>
                </c:pt>
                <c:pt idx="21">
                  <c:v>0.64999999999999991</c:v>
                </c:pt>
                <c:pt idx="22">
                  <c:v>0.71908136207871642</c:v>
                </c:pt>
                <c:pt idx="23">
                  <c:v>0.78298213678932871</c:v>
                </c:pt>
                <c:pt idx="24">
                  <c:v>0.83796734844931242</c:v>
                </c:pt>
                <c:pt idx="25">
                  <c:v>0.88241286959374698</c:v>
                </c:pt>
                <c:pt idx="26">
                  <c:v>0.9165579545845175</c:v>
                </c:pt>
                <c:pt idx="27">
                  <c:v>0.94177911245425427</c:v>
                </c:pt>
                <c:pt idx="28">
                  <c:v>0.95987307687079193</c:v>
                </c:pt>
                <c:pt idx="29">
                  <c:v>0.97258399404226537</c:v>
                </c:pt>
                <c:pt idx="30">
                  <c:v>0.98138210449619434</c:v>
                </c:pt>
                <c:pt idx="31">
                  <c:v>0.98740965302653616</c:v>
                </c:pt>
                <c:pt idx="32">
                  <c:v>0.9915100955110081</c:v>
                </c:pt>
                <c:pt idx="33">
                  <c:v>0.99428620019278813</c:v>
                </c:pt>
                <c:pt idx="34">
                  <c:v>0.99615959077038485</c:v>
                </c:pt>
                <c:pt idx="35">
                  <c:v>0.9974210320703949</c:v>
                </c:pt>
                <c:pt idx="36">
                  <c:v>0.9982691637903558</c:v>
                </c:pt>
                <c:pt idx="37">
                  <c:v>0.99883883924387784</c:v>
                </c:pt>
                <c:pt idx="38">
                  <c:v>0.99922122477699782</c:v>
                </c:pt>
                <c:pt idx="39">
                  <c:v>0.99947777981631436</c:v>
                </c:pt>
                <c:pt idx="40">
                  <c:v>0.99964985922504423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0B-7A44-ACB3-9CE5F8726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04031248"/>
        <c:axId val="-804028928"/>
      </c:scatterChart>
      <c:valAx>
        <c:axId val="-804031248"/>
        <c:scaling>
          <c:orientation val="minMax"/>
          <c:max val="4"/>
          <c:min val="-4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4028928"/>
        <c:crosses val="autoZero"/>
        <c:crossBetween val="midCat"/>
      </c:valAx>
      <c:valAx>
        <c:axId val="-80402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4031248"/>
        <c:crossesAt val="-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46804402979798E-2"/>
          <c:y val="0.11640226628895201"/>
          <c:w val="0.86922341382551804"/>
          <c:h val="0.782101224599049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Solns!$E$15</c:f>
              <c:strCache>
                <c:ptCount val="1"/>
                <c:pt idx="0">
                  <c:v>E[TestScore]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Solns!$A$16:$A$56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Solns!$E$16:$E$56</c:f>
              <c:numCache>
                <c:formatCode>General</c:formatCode>
                <c:ptCount val="41"/>
                <c:pt idx="0">
                  <c:v>0.77523288372583143</c:v>
                </c:pt>
                <c:pt idx="1">
                  <c:v>0.79063813065211586</c:v>
                </c:pt>
                <c:pt idx="2">
                  <c:v>0.8089051925929388</c:v>
                </c:pt>
                <c:pt idx="3">
                  <c:v>0.83044537143284436</c:v>
                </c:pt>
                <c:pt idx="4">
                  <c:v>0.85568356552724145</c:v>
                </c:pt>
                <c:pt idx="5">
                  <c:v>0.88504227834326066</c:v>
                </c:pt>
                <c:pt idx="6">
                  <c:v>0.91892219049469248</c:v>
                </c:pt>
                <c:pt idx="7">
                  <c:v>0.95768161972818855</c:v>
                </c:pt>
                <c:pt idx="8">
                  <c:v>1.0016189643247499</c:v>
                </c:pt>
                <c:pt idx="9">
                  <c:v>1.0509639733684271</c:v>
                </c:pt>
                <c:pt idx="10">
                  <c:v>1.1058847771452025</c:v>
                </c:pt>
                <c:pt idx="11">
                  <c:v>1.1665171854445271</c:v>
                </c:pt>
                <c:pt idx="12">
                  <c:v>1.2330198374135146</c:v>
                </c:pt>
                <c:pt idx="13">
                  <c:v>1.3056522450940218</c:v>
                </c:pt>
                <c:pt idx="14">
                  <c:v>1.3848611097793213</c:v>
                </c:pt>
                <c:pt idx="15">
                  <c:v>1.4713414896032253</c:v>
                </c:pt>
                <c:pt idx="16">
                  <c:v>1.5660126782479253</c:v>
                </c:pt>
                <c:pt idx="17">
                  <c:v>1.6698216875256195</c:v>
                </c:pt>
                <c:pt idx="18">
                  <c:v>1.7832906079368203</c:v>
                </c:pt>
                <c:pt idx="19">
                  <c:v>1.905818651794736</c:v>
                </c:pt>
                <c:pt idx="20">
                  <c:v>2.0349782188761987</c:v>
                </c:pt>
                <c:pt idx="21">
                  <c:v>2.1662949857831544</c:v>
                </c:pt>
                <c:pt idx="22">
                  <c:v>2.2939447106782795</c:v>
                </c:pt>
                <c:pt idx="23">
                  <c:v>2.412229724813475</c:v>
                </c:pt>
                <c:pt idx="24">
                  <c:v>2.5170485645395173</c:v>
                </c:pt>
                <c:pt idx="25">
                  <c:v>2.6065731884807564</c:v>
                </c:pt>
                <c:pt idx="26">
                  <c:v>2.6809990965381347</c:v>
                </c:pt>
                <c:pt idx="27">
                  <c:v>2.7418033728383859</c:v>
                </c:pt>
                <c:pt idx="28">
                  <c:v>2.7910019810250626</c:v>
                </c:pt>
                <c:pt idx="29">
                  <c:v>2.8306461907037677</c:v>
                </c:pt>
                <c:pt idx="30">
                  <c:v>2.8625699822774164</c:v>
                </c:pt>
                <c:pt idx="31">
                  <c:v>2.8883076445966536</c:v>
                </c:pt>
                <c:pt idx="32">
                  <c:v>2.9090996937286091</c:v>
                </c:pt>
                <c:pt idx="33">
                  <c:v>2.9259334644209587</c:v>
                </c:pt>
                <c:pt idx="34">
                  <c:v>2.9395907157891585</c:v>
                </c:pt>
                <c:pt idx="35">
                  <c:v>2.9506907794238675</c:v>
                </c:pt>
                <c:pt idx="36">
                  <c:v>2.9597259466306669</c:v>
                </c:pt>
                <c:pt idx="37">
                  <c:v>2.9670892344096922</c:v>
                </c:pt>
                <c:pt idx="38">
                  <c:v>2.9730957887222385</c:v>
                </c:pt>
                <c:pt idx="39">
                  <c:v>2.9779993217473648</c:v>
                </c:pt>
                <c:pt idx="40">
                  <c:v>2.9820047810826544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D-8748-BC29-3AB976332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38359952"/>
        <c:axId val="-838357632"/>
      </c:scatterChart>
      <c:valAx>
        <c:axId val="-838359952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38357632"/>
        <c:crosses val="autoZero"/>
        <c:crossBetween val="midCat"/>
      </c:valAx>
      <c:valAx>
        <c:axId val="-8383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38359952"/>
        <c:crossesAt val="-4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and Item Info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243358232650902E-2"/>
          <c:y val="9.6880907196926797E-2"/>
          <c:w val="0.74971024923129104"/>
          <c:h val="0.783277557450767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Solns!$J$15</c:f>
              <c:strCache>
                <c:ptCount val="1"/>
                <c:pt idx="0">
                  <c:v>info1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Solns!$I$16:$I$56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Solns!$J$16:$J$56</c:f>
              <c:numCache>
                <c:formatCode>General</c:formatCode>
                <c:ptCount val="41"/>
                <c:pt idx="0">
                  <c:v>1.6319800072198142E-2</c:v>
                </c:pt>
                <c:pt idx="1">
                  <c:v>2.2123295810146031E-2</c:v>
                </c:pt>
                <c:pt idx="2">
                  <c:v>2.9528619316343183E-2</c:v>
                </c:pt>
                <c:pt idx="3">
                  <c:v>3.8740811778154582E-2</c:v>
                </c:pt>
                <c:pt idx="4">
                  <c:v>4.9878328420616791E-2</c:v>
                </c:pt>
                <c:pt idx="5">
                  <c:v>6.291978189283319E-2</c:v>
                </c:pt>
                <c:pt idx="6">
                  <c:v>7.7652602706594506E-2</c:v>
                </c:pt>
                <c:pt idx="7">
                  <c:v>9.3636178453549032E-2</c:v>
                </c:pt>
                <c:pt idx="8">
                  <c:v>0.11019369490846347</c:v>
                </c:pt>
                <c:pt idx="9">
                  <c:v>0.12644464813078368</c:v>
                </c:pt>
                <c:pt idx="10">
                  <c:v>0.14138280287803248</c:v>
                </c:pt>
                <c:pt idx="11">
                  <c:v>0.15399291171582152</c:v>
                </c:pt>
                <c:pt idx="12">
                  <c:v>0.16338677068290522</c:v>
                </c:pt>
                <c:pt idx="13">
                  <c:v>0.16892999589197039</c:v>
                </c:pt>
                <c:pt idx="14">
                  <c:v>0.17032994412543276</c:v>
                </c:pt>
                <c:pt idx="15">
                  <c:v>0.16766426616751237</c:v>
                </c:pt>
                <c:pt idx="16">
                  <c:v>0.16134589825445042</c:v>
                </c:pt>
                <c:pt idx="17">
                  <c:v>0.15203748052854874</c:v>
                </c:pt>
                <c:pt idx="18">
                  <c:v>0.1405395904808476</c:v>
                </c:pt>
                <c:pt idx="19">
                  <c:v>0.12767935335461678</c:v>
                </c:pt>
                <c:pt idx="20">
                  <c:v>0.11421997729123748</c:v>
                </c:pt>
                <c:pt idx="21">
                  <c:v>0.10080163788513746</c:v>
                </c:pt>
                <c:pt idx="22">
                  <c:v>8.7914361478314607E-2</c:v>
                </c:pt>
                <c:pt idx="23">
                  <c:v>7.589694995904428E-2</c:v>
                </c:pt>
                <c:pt idx="24">
                  <c:v>6.495322651529517E-2</c:v>
                </c:pt>
                <c:pt idx="25">
                  <c:v>5.5177130303086575E-2</c:v>
                </c:pt>
                <c:pt idx="26">
                  <c:v>4.6580082323924341E-2</c:v>
                </c:pt>
                <c:pt idx="27">
                  <c:v>3.9116393167500797E-2</c:v>
                </c:pt>
                <c:pt idx="28">
                  <c:v>3.2704552806311724E-2</c:v>
                </c:pt>
                <c:pt idx="29">
                  <c:v>2.7243736752437724E-2</c:v>
                </c:pt>
                <c:pt idx="30">
                  <c:v>2.262577128564059E-2</c:v>
                </c:pt>
                <c:pt idx="31">
                  <c:v>1.8743246772599722E-2</c:v>
                </c:pt>
                <c:pt idx="32">
                  <c:v>1.5494606312192542E-2</c:v>
                </c:pt>
                <c:pt idx="33">
                  <c:v>1.2786999350627703E-2</c:v>
                </c:pt>
                <c:pt idx="34">
                  <c:v>1.0537570677076578E-2</c:v>
                </c:pt>
                <c:pt idx="35">
                  <c:v>8.6737125292877925E-3</c:v>
                </c:pt>
                <c:pt idx="36">
                  <c:v>7.1326725535238019E-3</c:v>
                </c:pt>
                <c:pt idx="37">
                  <c:v>5.86079658694079E-3</c:v>
                </c:pt>
                <c:pt idx="38">
                  <c:v>4.8125960023434663E-3</c:v>
                </c:pt>
                <c:pt idx="39">
                  <c:v>3.9497629026528707E-3</c:v>
                </c:pt>
                <c:pt idx="40">
                  <c:v>3.2402089572115896E-3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03-E74D-93DF-BABA6CA780C0}"/>
            </c:ext>
          </c:extLst>
        </c:ser>
        <c:ser>
          <c:idx val="1"/>
          <c:order val="1"/>
          <c:tx>
            <c:strRef>
              <c:f>Solns!$K$15</c:f>
              <c:strCache>
                <c:ptCount val="1"/>
                <c:pt idx="0">
                  <c:v>info2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Solns!$I$16:$I$56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Solns!$K$16:$K$56</c:f>
              <c:numCache>
                <c:formatCode>General</c:formatCode>
                <c:ptCount val="41"/>
                <c:pt idx="0">
                  <c:v>1.1854533205120229E-3</c:v>
                </c:pt>
                <c:pt idx="1">
                  <c:v>1.7224926235900808E-3</c:v>
                </c:pt>
                <c:pt idx="2">
                  <c:v>2.4894896483735429E-3</c:v>
                </c:pt>
                <c:pt idx="3">
                  <c:v>3.5753779008750228E-3</c:v>
                </c:pt>
                <c:pt idx="4">
                  <c:v>5.0969921917837909E-3</c:v>
                </c:pt>
                <c:pt idx="5">
                  <c:v>7.2036185423088707E-3</c:v>
                </c:pt>
                <c:pt idx="6">
                  <c:v>1.0079553248546209E-2</c:v>
                </c:pt>
                <c:pt idx="7">
                  <c:v>1.3942636979309295E-2</c:v>
                </c:pt>
                <c:pt idx="8">
                  <c:v>1.9036175410009137E-2</c:v>
                </c:pt>
                <c:pt idx="9">
                  <c:v>2.5611477391787735E-2</c:v>
                </c:pt>
                <c:pt idx="10">
                  <c:v>3.3898816686307162E-2</c:v>
                </c:pt>
                <c:pt idx="11">
                  <c:v>4.4066325438574576E-2</c:v>
                </c:pt>
                <c:pt idx="12">
                  <c:v>5.6169330500922161E-2</c:v>
                </c:pt>
                <c:pt idx="13">
                  <c:v>7.0096694971567411E-2</c:v>
                </c:pt>
                <c:pt idx="14">
                  <c:v>8.5524971487201104E-2</c:v>
                </c:pt>
                <c:pt idx="15">
                  <c:v>0.10189414567191847</c:v>
                </c:pt>
                <c:pt idx="16">
                  <c:v>0.11841864775924775</c:v>
                </c:pt>
                <c:pt idx="17">
                  <c:v>0.13414263055258507</c:v>
                </c:pt>
                <c:pt idx="18">
                  <c:v>0.14803896095889657</c:v>
                </c:pt>
                <c:pt idx="19">
                  <c:v>0.15913875525078977</c:v>
                </c:pt>
                <c:pt idx="20">
                  <c:v>0.16666666666666663</c:v>
                </c:pt>
                <c:pt idx="21">
                  <c:v>0.1701515902456418</c:v>
                </c:pt>
                <c:pt idx="22">
                  <c:v>0.16948655017065961</c:v>
                </c:pt>
                <c:pt idx="23">
                  <c:v>0.16492485631947335</c:v>
                </c:pt>
                <c:pt idx="24">
                  <c:v>0.1570172752857083</c:v>
                </c:pt>
                <c:pt idx="25">
                  <c:v>0.14650994710013446</c:v>
                </c:pt>
                <c:pt idx="26">
                  <c:v>0.13422971016384408</c:v>
                </c:pt>
                <c:pt idx="27">
                  <c:v>0.12098119873602756</c:v>
                </c:pt>
                <c:pt idx="28">
                  <c:v>0.10747141274308948</c:v>
                </c:pt>
                <c:pt idx="29">
                  <c:v>9.4267025332968393E-2</c:v>
                </c:pt>
                <c:pt idx="30">
                  <c:v>8.1781289526499656E-2</c:v>
                </c:pt>
                <c:pt idx="31">
                  <c:v>7.028275302924622E-2</c:v>
                </c:pt>
                <c:pt idx="32">
                  <c:v>5.9916891685251272E-2</c:v>
                </c:pt>
                <c:pt idx="33">
                  <c:v>5.0733014831589783E-2</c:v>
                </c:pt>
                <c:pt idx="34">
                  <c:v>4.2711039606455732E-2</c:v>
                </c:pt>
                <c:pt idx="35">
                  <c:v>3.5785001719300692E-2</c:v>
                </c:pt>
                <c:pt idx="36">
                  <c:v>2.9861967243660359E-2</c:v>
                </c:pt>
                <c:pt idx="37">
                  <c:v>2.4836201078015999E-2</c:v>
                </c:pt>
                <c:pt idx="38">
                  <c:v>2.0599105956864476E-2</c:v>
                </c:pt>
                <c:pt idx="39">
                  <c:v>1.7045719554026416E-2</c:v>
                </c:pt>
                <c:pt idx="40">
                  <c:v>1.4078593284500743E-2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03-E74D-93DF-BABA6CA780C0}"/>
            </c:ext>
          </c:extLst>
        </c:ser>
        <c:ser>
          <c:idx val="2"/>
          <c:order val="2"/>
          <c:tx>
            <c:strRef>
              <c:f>Solns!$L$15</c:f>
              <c:strCache>
                <c:ptCount val="1"/>
                <c:pt idx="0">
                  <c:v>info3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Solns!$I$16:$I$56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Solns!$L$16:$L$56</c:f>
              <c:numCache>
                <c:formatCode>General</c:formatCode>
                <c:ptCount val="41"/>
                <c:pt idx="0">
                  <c:v>4.7137742372935508E-7</c:v>
                </c:pt>
                <c:pt idx="1">
                  <c:v>1.0484515723040349E-6</c:v>
                </c:pt>
                <c:pt idx="2">
                  <c:v>2.331321665988812E-6</c:v>
                </c:pt>
                <c:pt idx="3">
                  <c:v>5.1816556931989553E-6</c:v>
                </c:pt>
                <c:pt idx="4">
                  <c:v>1.1509476730693314E-5</c:v>
                </c:pt>
                <c:pt idx="5">
                  <c:v>2.5540340425508972E-5</c:v>
                </c:pt>
                <c:pt idx="6">
                  <c:v>5.6595124933718538E-5</c:v>
                </c:pt>
                <c:pt idx="7">
                  <c:v>1.2514459508332387E-4</c:v>
                </c:pt>
                <c:pt idx="8">
                  <c:v>2.7585585049797736E-4</c:v>
                </c:pt>
                <c:pt idx="9">
                  <c:v>6.0525368401721823E-4</c:v>
                </c:pt>
                <c:pt idx="10">
                  <c:v>1.3189462245246303E-3</c:v>
                </c:pt>
                <c:pt idx="11">
                  <c:v>2.8456361735901465E-3</c:v>
                </c:pt>
                <c:pt idx="12">
                  <c:v>6.0512576775944163E-3</c:v>
                </c:pt>
                <c:pt idx="13">
                  <c:v>1.2604305019734677E-2</c:v>
                </c:pt>
                <c:pt idx="14">
                  <c:v>2.5500871932481871E-2</c:v>
                </c:pt>
                <c:pt idx="15">
                  <c:v>4.9574258553327734E-2</c:v>
                </c:pt>
                <c:pt idx="16">
                  <c:v>9.1391954808511144E-2</c:v>
                </c:pt>
                <c:pt idx="17">
                  <c:v>0.1574226984640727</c:v>
                </c:pt>
                <c:pt idx="18">
                  <c:v>0.24954693411719728</c:v>
                </c:pt>
                <c:pt idx="19">
                  <c:v>0.35915374351359008</c:v>
                </c:pt>
                <c:pt idx="20">
                  <c:v>0.4647378619572391</c:v>
                </c:pt>
                <c:pt idx="21">
                  <c:v>0.53846153846153844</c:v>
                </c:pt>
                <c:pt idx="22">
                  <c:v>0.56009684516554614</c:v>
                </c:pt>
                <c:pt idx="23">
                  <c:v>0.52780035431703221</c:v>
                </c:pt>
                <c:pt idx="24">
                  <c:v>0.4568263940867594</c:v>
                </c:pt>
                <c:pt idx="25">
                  <c:v>0.36898931976145488</c:v>
                </c:pt>
                <c:pt idx="26">
                  <c:v>0.28251189109029401</c:v>
                </c:pt>
                <c:pt idx="27">
                  <c:v>0.20785708650583359</c:v>
                </c:pt>
                <c:pt idx="28">
                  <c:v>0.14859588381763583</c:v>
                </c:pt>
                <c:pt idx="29">
                  <c:v>0.10409599837704528</c:v>
                </c:pt>
                <c:pt idx="30">
                  <c:v>7.1901477026160815E-2</c:v>
                </c:pt>
                <c:pt idx="31">
                  <c:v>4.9185319233501786E-2</c:v>
                </c:pt>
                <c:pt idx="32">
                  <c:v>3.3424631269727889E-2</c:v>
                </c:pt>
                <c:pt idx="33">
                  <c:v>2.2612812720295909E-2</c:v>
                </c:pt>
                <c:pt idx="34">
                  <c:v>1.5252116601605381E-2</c:v>
                </c:pt>
                <c:pt idx="35">
                  <c:v>1.0266476363106168E-2</c:v>
                </c:pt>
                <c:pt idx="36">
                  <c:v>6.9010941851377489E-3</c:v>
                </c:pt>
                <c:pt idx="37">
                  <c:v>4.6346282755266926E-3</c:v>
                </c:pt>
                <c:pt idx="38">
                  <c:v>3.110595878704965E-3</c:v>
                </c:pt>
                <c:pt idx="39">
                  <c:v>2.0868549645937842E-3</c:v>
                </c:pt>
                <c:pt idx="40">
                  <c:v>1.3996523991951447E-3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03-E74D-93DF-BABA6CA780C0}"/>
            </c:ext>
          </c:extLst>
        </c:ser>
        <c:ser>
          <c:idx val="3"/>
          <c:order val="3"/>
          <c:tx>
            <c:strRef>
              <c:f>Solns!$M$15</c:f>
              <c:strCache>
                <c:ptCount val="1"/>
                <c:pt idx="0">
                  <c:v>testinfo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Solns!$I$16:$I$56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1.80000000000001</c:v>
                </c:pt>
                <c:pt idx="30">
                  <c:v>2.0000000000000102</c:v>
                </c:pt>
                <c:pt idx="31">
                  <c:v>2.2000000000000099</c:v>
                </c:pt>
                <c:pt idx="32">
                  <c:v>2.4000000000000101</c:v>
                </c:pt>
                <c:pt idx="33">
                  <c:v>2.6000000000000099</c:v>
                </c:pt>
                <c:pt idx="34">
                  <c:v>2.80000000000001</c:v>
                </c:pt>
                <c:pt idx="35">
                  <c:v>3.0000000000000102</c:v>
                </c:pt>
                <c:pt idx="36">
                  <c:v>3.2000000000000099</c:v>
                </c:pt>
                <c:pt idx="37">
                  <c:v>3.4000000000000101</c:v>
                </c:pt>
                <c:pt idx="38">
                  <c:v>3.6000000000000099</c:v>
                </c:pt>
                <c:pt idx="39">
                  <c:v>3.80000000000001</c:v>
                </c:pt>
                <c:pt idx="40">
                  <c:v>4.0000000000000098</c:v>
                </c:pt>
              </c:numCache>
            </c:numRef>
          </c:xVal>
          <c:yVal>
            <c:numRef>
              <c:f>Solns!$M$16:$M$56</c:f>
              <c:numCache>
                <c:formatCode>General</c:formatCode>
                <c:ptCount val="41"/>
                <c:pt idx="0">
                  <c:v>1.7505724770133894E-2</c:v>
                </c:pt>
                <c:pt idx="1">
                  <c:v>2.3846836885308417E-2</c:v>
                </c:pt>
                <c:pt idx="2">
                  <c:v>3.2020440286382713E-2</c:v>
                </c:pt>
                <c:pt idx="3">
                  <c:v>4.2321371334722808E-2</c:v>
                </c:pt>
                <c:pt idx="4">
                  <c:v>5.4986830089131279E-2</c:v>
                </c:pt>
                <c:pt idx="5">
                  <c:v>7.0148940775567575E-2</c:v>
                </c:pt>
                <c:pt idx="6">
                  <c:v>8.7788751080074445E-2</c:v>
                </c:pt>
                <c:pt idx="7">
                  <c:v>0.10770396002794165</c:v>
                </c:pt>
                <c:pt idx="8">
                  <c:v>0.12950572616897058</c:v>
                </c:pt>
                <c:pt idx="9">
                  <c:v>0.15266137920658865</c:v>
                </c:pt>
                <c:pt idx="10">
                  <c:v>0.17660056578886427</c:v>
                </c:pt>
                <c:pt idx="11">
                  <c:v>0.20090487332798626</c:v>
                </c:pt>
                <c:pt idx="12">
                  <c:v>0.2256073588614218</c:v>
                </c:pt>
                <c:pt idx="13">
                  <c:v>0.25163099588327248</c:v>
                </c:pt>
                <c:pt idx="14">
                  <c:v>0.2813557875451157</c:v>
                </c:pt>
                <c:pt idx="15">
                  <c:v>0.31913267039275861</c:v>
                </c:pt>
                <c:pt idx="16">
                  <c:v>0.3711565008222093</c:v>
                </c:pt>
                <c:pt idx="17">
                  <c:v>0.44360280954520653</c:v>
                </c:pt>
                <c:pt idx="18">
                  <c:v>0.53812548555694151</c:v>
                </c:pt>
                <c:pt idx="19">
                  <c:v>0.64597185211899666</c:v>
                </c:pt>
                <c:pt idx="20">
                  <c:v>0.74562450591514318</c:v>
                </c:pt>
                <c:pt idx="21">
                  <c:v>0.8094147665923177</c:v>
                </c:pt>
                <c:pt idx="22">
                  <c:v>0.8174977568145203</c:v>
                </c:pt>
                <c:pt idx="23">
                  <c:v>0.76862216059554989</c:v>
                </c:pt>
                <c:pt idx="24">
                  <c:v>0.67879689588776282</c:v>
                </c:pt>
                <c:pt idx="25">
                  <c:v>0.57067639716467589</c:v>
                </c:pt>
                <c:pt idx="26">
                  <c:v>0.46332168357806242</c:v>
                </c:pt>
                <c:pt idx="27">
                  <c:v>0.36795467840936191</c:v>
                </c:pt>
                <c:pt idx="28">
                  <c:v>0.28877184936703704</c:v>
                </c:pt>
                <c:pt idx="29">
                  <c:v>0.2256067604624514</c:v>
                </c:pt>
                <c:pt idx="30">
                  <c:v>0.17630853783830105</c:v>
                </c:pt>
                <c:pt idx="31">
                  <c:v>0.13821131903534772</c:v>
                </c:pt>
                <c:pt idx="32">
                  <c:v>0.10883612926717171</c:v>
                </c:pt>
                <c:pt idx="33">
                  <c:v>8.6132826902513393E-2</c:v>
                </c:pt>
                <c:pt idx="34">
                  <c:v>6.8500726885137697E-2</c:v>
                </c:pt>
                <c:pt idx="35">
                  <c:v>5.4725190611694653E-2</c:v>
                </c:pt>
                <c:pt idx="36">
                  <c:v>4.3895733982321911E-2</c:v>
                </c:pt>
                <c:pt idx="37">
                  <c:v>3.5331625940483481E-2</c:v>
                </c:pt>
                <c:pt idx="38">
                  <c:v>2.8522297837912908E-2</c:v>
                </c:pt>
                <c:pt idx="39">
                  <c:v>2.3082337421273073E-2</c:v>
                </c:pt>
                <c:pt idx="40">
                  <c:v>1.8718454640907475E-2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03-E74D-93DF-BABA6CA78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04004704"/>
        <c:axId val="-804001440"/>
      </c:scatterChart>
      <c:valAx>
        <c:axId val="-804004704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4001440"/>
        <c:crosses val="autoZero"/>
        <c:crossBetween val="midCat"/>
      </c:valAx>
      <c:valAx>
        <c:axId val="-80400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04004704"/>
        <c:crossesAt val="-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</xdr:colOff>
      <xdr:row>0</xdr:row>
      <xdr:rowOff>190500</xdr:rowOff>
    </xdr:from>
    <xdr:to>
      <xdr:col>22</xdr:col>
      <xdr:colOff>38100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6350</xdr:colOff>
      <xdr:row>24</xdr:row>
      <xdr:rowOff>25400</xdr:rowOff>
    </xdr:from>
    <xdr:to>
      <xdr:col>21</xdr:col>
      <xdr:colOff>0</xdr:colOff>
      <xdr:row>46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158408</xdr:colOff>
      <xdr:row>23</xdr:row>
      <xdr:rowOff>198832</xdr:rowOff>
    </xdr:from>
    <xdr:to>
      <xdr:col>29</xdr:col>
      <xdr:colOff>68280</xdr:colOff>
      <xdr:row>40</xdr:row>
      <xdr:rowOff>150216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52" zoomScaleNormal="152" workbookViewId="0">
      <selection activeCell="B9" sqref="B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>
        <v>1</v>
      </c>
      <c r="C2" s="1">
        <v>-1.5</v>
      </c>
      <c r="D2" s="1">
        <v>0.2</v>
      </c>
    </row>
    <row r="3" spans="1:4" x14ac:dyDescent="0.2">
      <c r="A3" s="1">
        <v>2</v>
      </c>
      <c r="B3" s="1">
        <v>1</v>
      </c>
      <c r="C3" s="1">
        <v>0</v>
      </c>
      <c r="D3" s="1">
        <v>0.2</v>
      </c>
    </row>
    <row r="4" spans="1:4" x14ac:dyDescent="0.2">
      <c r="A4" s="1">
        <v>3</v>
      </c>
      <c r="B4" s="1">
        <v>2</v>
      </c>
      <c r="C4" s="1">
        <v>0.2</v>
      </c>
      <c r="D4" s="1">
        <v>0.3</v>
      </c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 t="s">
        <v>8</v>
      </c>
      <c r="C8" s="1" t="s">
        <v>9</v>
      </c>
      <c r="D8" s="1" t="s">
        <v>10</v>
      </c>
    </row>
    <row r="9" spans="1:4" x14ac:dyDescent="0.2">
      <c r="A9" s="1" t="s">
        <v>1</v>
      </c>
      <c r="B9" s="1">
        <f t="array" ref="B9:D11">TRANSPOSE(B2:D4)</f>
        <v>1</v>
      </c>
      <c r="C9" s="1">
        <v>1</v>
      </c>
      <c r="D9" s="1">
        <v>2</v>
      </c>
    </row>
    <row r="10" spans="1:4" x14ac:dyDescent="0.2">
      <c r="A10" s="1" t="s">
        <v>2</v>
      </c>
      <c r="B10" s="1">
        <v>-1.5</v>
      </c>
      <c r="C10" s="1">
        <v>0</v>
      </c>
      <c r="D10" s="1">
        <v>0.2</v>
      </c>
    </row>
    <row r="11" spans="1:4" x14ac:dyDescent="0.2">
      <c r="A11" s="1" t="s">
        <v>3</v>
      </c>
      <c r="B11" s="1">
        <v>0.2</v>
      </c>
      <c r="C11" s="1">
        <v>0.2</v>
      </c>
      <c r="D11" s="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tabSelected="1" zoomScale="93" zoomScaleNormal="93" workbookViewId="0">
      <selection activeCell="J16" sqref="J16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">
      <c r="A2" s="1">
        <v>1</v>
      </c>
      <c r="B2" s="1">
        <v>1</v>
      </c>
      <c r="C2" s="1">
        <v>-1.5</v>
      </c>
      <c r="D2" s="1">
        <v>0.2</v>
      </c>
    </row>
    <row r="3" spans="1:13" x14ac:dyDescent="0.2">
      <c r="A3" s="1">
        <v>2</v>
      </c>
      <c r="B3" s="1">
        <v>1</v>
      </c>
      <c r="C3" s="1">
        <v>0</v>
      </c>
      <c r="D3" s="1">
        <v>0.2</v>
      </c>
    </row>
    <row r="4" spans="1:13" x14ac:dyDescent="0.2">
      <c r="A4" s="1">
        <v>3</v>
      </c>
      <c r="B4" s="1">
        <v>2</v>
      </c>
      <c r="C4" s="1">
        <v>0.2</v>
      </c>
      <c r="D4" s="1">
        <v>0.3</v>
      </c>
    </row>
    <row r="5" spans="1:13" x14ac:dyDescent="0.2">
      <c r="A5" s="1"/>
      <c r="B5" s="1"/>
      <c r="C5" s="1"/>
      <c r="D5" s="1"/>
    </row>
    <row r="6" spans="1:13" x14ac:dyDescent="0.2">
      <c r="A6" s="1"/>
      <c r="B6" s="1"/>
      <c r="C6" s="1"/>
      <c r="D6" s="1"/>
    </row>
    <row r="7" spans="1:13" x14ac:dyDescent="0.2">
      <c r="A7" s="1"/>
      <c r="B7" s="1"/>
      <c r="C7" s="1"/>
      <c r="D7" s="1"/>
    </row>
    <row r="8" spans="1:13" x14ac:dyDescent="0.2">
      <c r="A8" s="1"/>
      <c r="B8" s="1" t="s">
        <v>8</v>
      </c>
      <c r="C8" s="1" t="s">
        <v>9</v>
      </c>
      <c r="D8" s="1" t="s">
        <v>10</v>
      </c>
    </row>
    <row r="9" spans="1:13" x14ac:dyDescent="0.2">
      <c r="A9" s="1" t="s">
        <v>1</v>
      </c>
      <c r="B9" s="1">
        <f t="array" ref="B9:D11">TRANSPOSE(B2:D4)</f>
        <v>1</v>
      </c>
      <c r="C9" s="1">
        <v>1</v>
      </c>
      <c r="D9" s="1">
        <v>2</v>
      </c>
    </row>
    <row r="10" spans="1:13" x14ac:dyDescent="0.2">
      <c r="A10" s="1" t="s">
        <v>2</v>
      </c>
      <c r="B10" s="1">
        <v>-1.5</v>
      </c>
      <c r="C10" s="1">
        <v>0</v>
      </c>
      <c r="D10" s="1">
        <v>0.2</v>
      </c>
    </row>
    <row r="11" spans="1:13" x14ac:dyDescent="0.2">
      <c r="A11" s="1" t="s">
        <v>3</v>
      </c>
      <c r="B11" s="1">
        <v>0.2</v>
      </c>
      <c r="C11" s="1">
        <v>0.2</v>
      </c>
      <c r="D11" s="1">
        <v>0.3</v>
      </c>
    </row>
    <row r="15" spans="1:13" x14ac:dyDescent="0.2">
      <c r="A15" t="s">
        <v>4</v>
      </c>
      <c r="B15" t="s">
        <v>5</v>
      </c>
      <c r="C15" t="s">
        <v>6</v>
      </c>
      <c r="D15" t="s">
        <v>7</v>
      </c>
      <c r="E15" t="s">
        <v>11</v>
      </c>
      <c r="F15" t="s">
        <v>15</v>
      </c>
      <c r="G15" t="s">
        <v>16</v>
      </c>
      <c r="H15" t="s">
        <v>17</v>
      </c>
      <c r="I15" t="str">
        <f>A15</f>
        <v>Theta</v>
      </c>
      <c r="J15" t="s">
        <v>18</v>
      </c>
      <c r="K15" t="s">
        <v>19</v>
      </c>
      <c r="L15" t="s">
        <v>20</v>
      </c>
      <c r="M15" t="s">
        <v>21</v>
      </c>
    </row>
    <row r="16" spans="1:13" x14ac:dyDescent="0.2">
      <c r="A16">
        <v>-4</v>
      </c>
      <c r="B16">
        <f>B$11+(1-B$11)*(1/(1+EXP(-1*B$9*($A16-B$10))))</f>
        <v>0.26068654401699487</v>
      </c>
      <c r="C16">
        <f t="shared" ref="C16:D16" si="0">C$11+(1-C$11)*(1/(1+EXP(-1*C$9*($A16-C$10))))</f>
        <v>0.21438896796967327</v>
      </c>
      <c r="D16">
        <f t="shared" si="0"/>
        <v>0.30015737173916329</v>
      </c>
      <c r="E16">
        <f t="shared" ref="E16:E57" si="1">SUM(B16:D16)</f>
        <v>0.77523288372583143</v>
      </c>
      <c r="F16">
        <f>1-B16</f>
        <v>0.73931345598300513</v>
      </c>
      <c r="G16">
        <f t="shared" ref="G16:H31" si="2">1-C16</f>
        <v>0.78561103203032667</v>
      </c>
      <c r="H16">
        <f t="shared" si="2"/>
        <v>0.69984262826083676</v>
      </c>
      <c r="I16">
        <f t="shared" ref="I16:I56" si="3">A16</f>
        <v>-4</v>
      </c>
      <c r="J16">
        <f>((B$9^2)*(F16/B16))*(((B16-B$11)^2)/((1-B$11)^2))</f>
        <v>1.6319800072198142E-2</v>
      </c>
      <c r="K16">
        <f>((C$9^2)*(G16/C16))*(((C16-C$11)^2)/((1-C$11)^2))</f>
        <v>1.1854533205120229E-3</v>
      </c>
      <c r="L16">
        <f>((D$9^2)*(H16/D16))*(((D16-D$11)^2)/((1-D$11)^2))</f>
        <v>4.7137742372935508E-7</v>
      </c>
      <c r="M16">
        <f>SUM(J16:L16)</f>
        <v>1.7505724770133894E-2</v>
      </c>
    </row>
    <row r="17" spans="1:13" x14ac:dyDescent="0.2">
      <c r="A17">
        <v>-3.8</v>
      </c>
      <c r="B17">
        <f t="shared" ref="B17:D35" si="4">B$11+(1-B$11)*(1/(1+EXP(-1*B$9*($A17-B$10))))</f>
        <v>0.27289836881188495</v>
      </c>
      <c r="C17">
        <f t="shared" ref="B17:D57" si="5">C$11+(1-C$11)*(1/(1+EXP(-1*C$9*($A17-C$10))))</f>
        <v>0.21750501674890438</v>
      </c>
      <c r="D17">
        <f t="shared" si="5"/>
        <v>0.30023474509132653</v>
      </c>
      <c r="E17">
        <f t="shared" si="1"/>
        <v>0.79063813065211586</v>
      </c>
      <c r="F17">
        <f t="shared" ref="F17:F57" si="6">1-B17</f>
        <v>0.72710163118811511</v>
      </c>
      <c r="G17">
        <f t="shared" si="2"/>
        <v>0.78249498325109568</v>
      </c>
      <c r="H17">
        <f t="shared" si="2"/>
        <v>0.69976525490867347</v>
      </c>
      <c r="I17">
        <f t="shared" si="3"/>
        <v>-3.8</v>
      </c>
      <c r="J17">
        <f t="shared" ref="J17:J56" si="7">((B$9^2)*(F17/B17))*(((B17-B$11)^2)/((1-B$11)^2))</f>
        <v>2.2123295810146031E-2</v>
      </c>
      <c r="K17">
        <f t="shared" ref="K17:K31" si="8">((C$9^2)*(G17/C17))*(((C17-C$11)^2)/((1-C$11)^2))</f>
        <v>1.7224926235900808E-3</v>
      </c>
      <c r="L17">
        <f t="shared" ref="L17:L31" si="9">((D$9^2)*(H17/D17))*(((D17-D$11)^2)/((1-D$11)^2))</f>
        <v>1.0484515723040349E-6</v>
      </c>
      <c r="M17">
        <f t="shared" ref="M17:M56" si="10">SUM(J17:L17)</f>
        <v>2.3846836885308417E-2</v>
      </c>
    </row>
    <row r="18" spans="1:13" x14ac:dyDescent="0.2">
      <c r="A18">
        <v>-3.6</v>
      </c>
      <c r="B18">
        <f t="shared" si="4"/>
        <v>0.28727745695649037</v>
      </c>
      <c r="C18">
        <f t="shared" si="5"/>
        <v>0.2212775948614927</v>
      </c>
      <c r="D18">
        <f t="shared" si="5"/>
        <v>0.3003501407749557</v>
      </c>
      <c r="E18">
        <f t="shared" si="1"/>
        <v>0.8089051925929388</v>
      </c>
      <c r="F18">
        <f t="shared" si="6"/>
        <v>0.71272254304350957</v>
      </c>
      <c r="G18">
        <f t="shared" si="2"/>
        <v>0.77872240513850732</v>
      </c>
      <c r="H18">
        <f t="shared" si="2"/>
        <v>0.6996498592250443</v>
      </c>
      <c r="I18">
        <f t="shared" si="3"/>
        <v>-3.6</v>
      </c>
      <c r="J18">
        <f t="shared" si="7"/>
        <v>2.9528619316343183E-2</v>
      </c>
      <c r="K18">
        <f t="shared" si="8"/>
        <v>2.4894896483735429E-3</v>
      </c>
      <c r="L18">
        <f t="shared" si="9"/>
        <v>2.331321665988812E-6</v>
      </c>
      <c r="M18">
        <f t="shared" si="10"/>
        <v>3.2020440286382713E-2</v>
      </c>
    </row>
    <row r="19" spans="1:13" x14ac:dyDescent="0.2">
      <c r="A19">
        <v>-3.4</v>
      </c>
      <c r="B19">
        <f t="shared" si="4"/>
        <v>0.30408677949039831</v>
      </c>
      <c r="C19">
        <f t="shared" si="5"/>
        <v>0.22583637175876042</v>
      </c>
      <c r="D19">
        <f t="shared" si="5"/>
        <v>0.30052222018368568</v>
      </c>
      <c r="E19">
        <f t="shared" si="1"/>
        <v>0.83044537143284436</v>
      </c>
      <c r="F19">
        <f t="shared" si="6"/>
        <v>0.69591322050960169</v>
      </c>
      <c r="G19">
        <f t="shared" si="2"/>
        <v>0.77416362824123963</v>
      </c>
      <c r="H19">
        <f t="shared" si="2"/>
        <v>0.69947777981631432</v>
      </c>
      <c r="I19">
        <f t="shared" si="3"/>
        <v>-3.4</v>
      </c>
      <c r="J19">
        <f t="shared" si="7"/>
        <v>3.8740811778154582E-2</v>
      </c>
      <c r="K19">
        <f t="shared" si="8"/>
        <v>3.5753779008750228E-3</v>
      </c>
      <c r="L19">
        <f t="shared" si="9"/>
        <v>5.1816556931989553E-6</v>
      </c>
      <c r="M19">
        <f t="shared" si="10"/>
        <v>4.2321371334722808E-2</v>
      </c>
    </row>
    <row r="20" spans="1:13" x14ac:dyDescent="0.2">
      <c r="A20">
        <v>-3.2</v>
      </c>
      <c r="B20">
        <f t="shared" si="4"/>
        <v>0.32357221206682774</v>
      </c>
      <c r="C20">
        <f t="shared" si="4"/>
        <v>0.23133257823741149</v>
      </c>
      <c r="D20">
        <f t="shared" si="4"/>
        <v>0.30077877522300223</v>
      </c>
      <c r="E20">
        <f t="shared" si="1"/>
        <v>0.85568356552724145</v>
      </c>
      <c r="F20">
        <f t="shared" si="6"/>
        <v>0.67642778793317226</v>
      </c>
      <c r="G20">
        <f t="shared" si="2"/>
        <v>0.76866742176258851</v>
      </c>
      <c r="H20">
        <f t="shared" si="2"/>
        <v>0.69922122477699777</v>
      </c>
      <c r="I20">
        <f t="shared" si="3"/>
        <v>-3.2</v>
      </c>
      <c r="J20">
        <f t="shared" si="7"/>
        <v>4.9878328420616791E-2</v>
      </c>
      <c r="K20">
        <f t="shared" si="8"/>
        <v>5.0969921917837909E-3</v>
      </c>
      <c r="L20">
        <f t="shared" si="9"/>
        <v>1.1509476730693314E-5</v>
      </c>
      <c r="M20">
        <f t="shared" si="10"/>
        <v>5.4986830089131279E-2</v>
      </c>
    </row>
    <row r="21" spans="1:13" x14ac:dyDescent="0.2">
      <c r="A21">
        <v>-3</v>
      </c>
      <c r="B21">
        <f t="shared" si="4"/>
        <v>0.3459404190450851</v>
      </c>
      <c r="C21">
        <f t="shared" si="5"/>
        <v>0.23794069854205344</v>
      </c>
      <c r="D21">
        <f t="shared" si="5"/>
        <v>0.30116116075612209</v>
      </c>
      <c r="E21">
        <f t="shared" si="1"/>
        <v>0.88504227834326066</v>
      </c>
      <c r="F21">
        <f t="shared" si="6"/>
        <v>0.6540595809549149</v>
      </c>
      <c r="G21">
        <f t="shared" si="2"/>
        <v>0.76205930145794654</v>
      </c>
      <c r="H21">
        <f t="shared" si="2"/>
        <v>0.69883883924387791</v>
      </c>
      <c r="I21">
        <f t="shared" si="3"/>
        <v>-3</v>
      </c>
      <c r="J21">
        <f t="shared" si="7"/>
        <v>6.291978189283319E-2</v>
      </c>
      <c r="K21">
        <f t="shared" si="8"/>
        <v>7.2036185423088707E-3</v>
      </c>
      <c r="L21">
        <f t="shared" si="9"/>
        <v>2.5540340425508972E-5</v>
      </c>
      <c r="M21">
        <f t="shared" si="10"/>
        <v>7.0148940775567575E-2</v>
      </c>
    </row>
    <row r="22" spans="1:13" x14ac:dyDescent="0.2">
      <c r="A22">
        <v>-2.8</v>
      </c>
      <c r="B22">
        <f t="shared" si="4"/>
        <v>0.37133201356595313</v>
      </c>
      <c r="C22">
        <f t="shared" si="5"/>
        <v>0.24585934071909502</v>
      </c>
      <c r="D22">
        <f t="shared" si="5"/>
        <v>0.3017308362096443</v>
      </c>
      <c r="E22">
        <f t="shared" si="1"/>
        <v>0.91892219049469248</v>
      </c>
      <c r="F22">
        <f t="shared" si="6"/>
        <v>0.62866798643404687</v>
      </c>
      <c r="G22">
        <f t="shared" si="2"/>
        <v>0.75414065928090501</v>
      </c>
      <c r="H22">
        <f t="shared" si="2"/>
        <v>0.69826916379035575</v>
      </c>
      <c r="I22">
        <f t="shared" si="3"/>
        <v>-2.8</v>
      </c>
      <c r="J22">
        <f t="shared" si="7"/>
        <v>7.7652602706594506E-2</v>
      </c>
      <c r="K22">
        <f t="shared" si="8"/>
        <v>1.0079553248546209E-2</v>
      </c>
      <c r="L22">
        <f t="shared" si="9"/>
        <v>5.6595124933718538E-5</v>
      </c>
      <c r="M22">
        <f t="shared" si="10"/>
        <v>8.7788751080074445E-2</v>
      </c>
    </row>
    <row r="23" spans="1:13" x14ac:dyDescent="0.2">
      <c r="A23">
        <v>-2.6</v>
      </c>
      <c r="B23">
        <f t="shared" si="4"/>
        <v>0.39979191552390592</v>
      </c>
      <c r="C23">
        <f t="shared" si="5"/>
        <v>0.25531073627467749</v>
      </c>
      <c r="D23">
        <f t="shared" si="5"/>
        <v>0.3025789679296052</v>
      </c>
      <c r="E23">
        <f t="shared" si="1"/>
        <v>0.95768161972818855</v>
      </c>
      <c r="F23">
        <f t="shared" si="6"/>
        <v>0.60020808447609408</v>
      </c>
      <c r="G23">
        <f t="shared" si="2"/>
        <v>0.74468926372532251</v>
      </c>
      <c r="H23">
        <f t="shared" si="2"/>
        <v>0.69742103207039485</v>
      </c>
      <c r="I23">
        <f t="shared" si="3"/>
        <v>-2.6</v>
      </c>
      <c r="J23">
        <f t="shared" si="7"/>
        <v>9.3636178453549032E-2</v>
      </c>
      <c r="K23">
        <f t="shared" si="8"/>
        <v>1.3942636979309295E-2</v>
      </c>
      <c r="L23">
        <f t="shared" si="9"/>
        <v>1.2514459508332387E-4</v>
      </c>
      <c r="M23">
        <f t="shared" si="10"/>
        <v>0.10770396002794165</v>
      </c>
    </row>
    <row r="24" spans="1:13" x14ac:dyDescent="0.2">
      <c r="A24">
        <v>-2.4</v>
      </c>
      <c r="B24">
        <f t="shared" si="4"/>
        <v>0.43124039789999685</v>
      </c>
      <c r="C24">
        <f t="shared" si="5"/>
        <v>0.2665381571951379</v>
      </c>
      <c r="D24">
        <f t="shared" si="5"/>
        <v>0.30384040922961525</v>
      </c>
      <c r="E24">
        <f t="shared" si="1"/>
        <v>1.0016189643247499</v>
      </c>
      <c r="F24">
        <f t="shared" si="6"/>
        <v>0.5687596021000032</v>
      </c>
      <c r="G24">
        <f t="shared" si="2"/>
        <v>0.73346184280486204</v>
      </c>
      <c r="H24">
        <f t="shared" si="2"/>
        <v>0.69615959077038481</v>
      </c>
      <c r="I24">
        <f t="shared" si="3"/>
        <v>-2.4</v>
      </c>
      <c r="J24">
        <f t="shared" si="7"/>
        <v>0.11019369490846347</v>
      </c>
      <c r="K24">
        <f t="shared" si="8"/>
        <v>1.9036175410009137E-2</v>
      </c>
      <c r="L24">
        <f t="shared" si="9"/>
        <v>2.7585585049797736E-4</v>
      </c>
      <c r="M24">
        <f t="shared" si="10"/>
        <v>0.12950572616897058</v>
      </c>
    </row>
    <row r="25" spans="1:13" x14ac:dyDescent="0.2">
      <c r="A25">
        <v>-2.2000000000000002</v>
      </c>
      <c r="B25">
        <f t="shared" si="4"/>
        <v>0.46544978226546707</v>
      </c>
      <c r="C25">
        <f t="shared" si="5"/>
        <v>0.27980039129574813</v>
      </c>
      <c r="D25">
        <f t="shared" si="5"/>
        <v>0.30571379980721192</v>
      </c>
      <c r="E25">
        <f t="shared" si="1"/>
        <v>1.0509639733684271</v>
      </c>
      <c r="F25">
        <f t="shared" si="6"/>
        <v>0.53455021773453293</v>
      </c>
      <c r="G25">
        <f t="shared" si="2"/>
        <v>0.72019960870425193</v>
      </c>
      <c r="H25">
        <f t="shared" si="2"/>
        <v>0.69428620019278808</v>
      </c>
      <c r="I25">
        <f t="shared" si="3"/>
        <v>-2.2000000000000002</v>
      </c>
      <c r="J25">
        <f t="shared" si="7"/>
        <v>0.12644464813078368</v>
      </c>
      <c r="K25">
        <f t="shared" si="8"/>
        <v>2.5611477391787735E-2</v>
      </c>
      <c r="L25">
        <f t="shared" si="9"/>
        <v>6.0525368401721823E-4</v>
      </c>
      <c r="M25">
        <f t="shared" si="10"/>
        <v>0.15266137920658865</v>
      </c>
    </row>
    <row r="26" spans="1:13" x14ac:dyDescent="0.2">
      <c r="A26">
        <v>-2</v>
      </c>
      <c r="B26">
        <f t="shared" si="4"/>
        <v>0.50203253503851641</v>
      </c>
      <c r="C26">
        <f t="shared" si="5"/>
        <v>0.29536233761769404</v>
      </c>
      <c r="D26">
        <f t="shared" si="5"/>
        <v>0.30848990448899194</v>
      </c>
      <c r="E26">
        <f t="shared" si="1"/>
        <v>1.1058847771452025</v>
      </c>
      <c r="F26">
        <f t="shared" si="6"/>
        <v>0.49796746496148359</v>
      </c>
      <c r="G26">
        <f t="shared" si="2"/>
        <v>0.70463766238230596</v>
      </c>
      <c r="H26">
        <f t="shared" si="2"/>
        <v>0.69151009551100806</v>
      </c>
      <c r="I26">
        <f t="shared" si="3"/>
        <v>-2</v>
      </c>
      <c r="J26">
        <f t="shared" si="7"/>
        <v>0.14138280287803248</v>
      </c>
      <c r="K26">
        <f t="shared" si="8"/>
        <v>3.3898816686307162E-2</v>
      </c>
      <c r="L26">
        <f t="shared" si="9"/>
        <v>1.3189462245246303E-3</v>
      </c>
      <c r="M26">
        <f t="shared" si="10"/>
        <v>0.17660056578886427</v>
      </c>
    </row>
    <row r="27" spans="1:13" x14ac:dyDescent="0.2">
      <c r="A27">
        <v>-1.8</v>
      </c>
      <c r="B27">
        <f t="shared" si="4"/>
        <v>0.54044598655067277</v>
      </c>
      <c r="C27">
        <f t="shared" si="5"/>
        <v>0.31348085192039021</v>
      </c>
      <c r="D27">
        <f t="shared" si="5"/>
        <v>0.31259034697346411</v>
      </c>
      <c r="E27">
        <f t="shared" si="1"/>
        <v>1.1665171854445271</v>
      </c>
      <c r="F27">
        <f t="shared" si="6"/>
        <v>0.45955401344932723</v>
      </c>
      <c r="G27">
        <f t="shared" si="2"/>
        <v>0.68651914807960979</v>
      </c>
      <c r="H27">
        <f t="shared" si="2"/>
        <v>0.68740965302653589</v>
      </c>
      <c r="I27">
        <f t="shared" si="3"/>
        <v>-1.8</v>
      </c>
      <c r="J27">
        <f t="shared" si="7"/>
        <v>0.15399291171582152</v>
      </c>
      <c r="K27">
        <f t="shared" si="8"/>
        <v>4.4066325438574576E-2</v>
      </c>
      <c r="L27">
        <f t="shared" si="9"/>
        <v>2.8456361735901465E-3</v>
      </c>
      <c r="M27">
        <f t="shared" si="10"/>
        <v>0.20090487332798626</v>
      </c>
    </row>
    <row r="28" spans="1:13" x14ac:dyDescent="0.2">
      <c r="A28">
        <v>-1.6</v>
      </c>
      <c r="B28">
        <f t="shared" si="4"/>
        <v>0.58001665001684799</v>
      </c>
      <c r="C28">
        <f t="shared" si="5"/>
        <v>0.33438529189286043</v>
      </c>
      <c r="D28">
        <f t="shared" si="5"/>
        <v>0.31861789550380609</v>
      </c>
      <c r="E28">
        <f t="shared" si="1"/>
        <v>1.2330198374135146</v>
      </c>
      <c r="F28">
        <f t="shared" si="6"/>
        <v>0.41998334998315201</v>
      </c>
      <c r="G28">
        <f t="shared" si="2"/>
        <v>0.66561470810713952</v>
      </c>
      <c r="H28">
        <f t="shared" si="2"/>
        <v>0.68138210449619385</v>
      </c>
      <c r="I28">
        <f t="shared" si="3"/>
        <v>-1.6</v>
      </c>
      <c r="J28">
        <f t="shared" si="7"/>
        <v>0.16338677068290522</v>
      </c>
      <c r="K28">
        <f t="shared" si="8"/>
        <v>5.6169330500922161E-2</v>
      </c>
      <c r="L28">
        <f t="shared" si="9"/>
        <v>6.0512576775944163E-3</v>
      </c>
      <c r="M28">
        <f t="shared" si="10"/>
        <v>0.2256073588614218</v>
      </c>
    </row>
    <row r="29" spans="1:13" x14ac:dyDescent="0.2">
      <c r="A29">
        <v>-1.4</v>
      </c>
      <c r="B29">
        <f t="shared" si="4"/>
        <v>0.61998334998315197</v>
      </c>
      <c r="C29">
        <f t="shared" si="5"/>
        <v>0.35825288915313463</v>
      </c>
      <c r="D29">
        <f t="shared" si="5"/>
        <v>0.32741600595773507</v>
      </c>
      <c r="E29">
        <f t="shared" si="1"/>
        <v>1.3056522450940218</v>
      </c>
      <c r="F29">
        <f t="shared" si="6"/>
        <v>0.38001665001684803</v>
      </c>
      <c r="G29">
        <f t="shared" si="2"/>
        <v>0.64174711084686531</v>
      </c>
      <c r="H29">
        <f t="shared" si="2"/>
        <v>0.67258399404226488</v>
      </c>
      <c r="I29">
        <f t="shared" si="3"/>
        <v>-1.4</v>
      </c>
      <c r="J29">
        <f t="shared" si="7"/>
        <v>0.16892999589197039</v>
      </c>
      <c r="K29">
        <f t="shared" si="8"/>
        <v>7.0096694971567411E-2</v>
      </c>
      <c r="L29">
        <f t="shared" si="9"/>
        <v>1.2604305019734677E-2</v>
      </c>
      <c r="M29">
        <f t="shared" si="10"/>
        <v>0.25163099588327248</v>
      </c>
    </row>
    <row r="30" spans="1:13" x14ac:dyDescent="0.2">
      <c r="A30">
        <v>-1.2</v>
      </c>
      <c r="B30">
        <f t="shared" si="4"/>
        <v>0.65955401344932718</v>
      </c>
      <c r="C30">
        <f t="shared" si="5"/>
        <v>0.3851801732007859</v>
      </c>
      <c r="D30">
        <f t="shared" si="5"/>
        <v>0.34012692312920811</v>
      </c>
      <c r="E30">
        <f t="shared" si="1"/>
        <v>1.3848611097793213</v>
      </c>
      <c r="F30">
        <f t="shared" si="6"/>
        <v>0.34044598655067282</v>
      </c>
      <c r="G30">
        <f t="shared" si="2"/>
        <v>0.6148198267992141</v>
      </c>
      <c r="H30">
        <f t="shared" si="2"/>
        <v>0.65987307687079189</v>
      </c>
      <c r="I30">
        <f t="shared" si="3"/>
        <v>-1.2</v>
      </c>
      <c r="J30">
        <f t="shared" si="7"/>
        <v>0.17032994412543276</v>
      </c>
      <c r="K30">
        <f t="shared" si="8"/>
        <v>8.5524971487201104E-2</v>
      </c>
      <c r="L30">
        <f t="shared" si="9"/>
        <v>2.5500871932481871E-2</v>
      </c>
      <c r="M30">
        <f t="shared" si="10"/>
        <v>0.2813557875451157</v>
      </c>
    </row>
    <row r="31" spans="1:13" x14ac:dyDescent="0.2">
      <c r="A31">
        <v>-1</v>
      </c>
      <c r="B31">
        <f t="shared" si="4"/>
        <v>0.69796746496148376</v>
      </c>
      <c r="C31">
        <f t="shared" si="5"/>
        <v>0.41515313709599611</v>
      </c>
      <c r="D31">
        <f t="shared" si="5"/>
        <v>0.35822088754574566</v>
      </c>
      <c r="E31">
        <f t="shared" si="1"/>
        <v>1.4713414896032253</v>
      </c>
      <c r="F31">
        <f t="shared" si="6"/>
        <v>0.30203253503851624</v>
      </c>
      <c r="G31">
        <f t="shared" si="2"/>
        <v>0.58484686290400389</v>
      </c>
      <c r="H31">
        <f t="shared" si="2"/>
        <v>0.64177911245425434</v>
      </c>
      <c r="I31">
        <f t="shared" si="3"/>
        <v>-1</v>
      </c>
      <c r="J31">
        <f t="shared" si="7"/>
        <v>0.16766426616751237</v>
      </c>
      <c r="K31">
        <f t="shared" si="8"/>
        <v>0.10189414567191847</v>
      </c>
      <c r="L31">
        <f t="shared" si="9"/>
        <v>4.9574258553327734E-2</v>
      </c>
      <c r="M31">
        <f t="shared" si="10"/>
        <v>0.31913267039275861</v>
      </c>
    </row>
    <row r="32" spans="1:13" x14ac:dyDescent="0.2">
      <c r="A32">
        <v>-0.8</v>
      </c>
      <c r="B32">
        <f t="shared" si="4"/>
        <v>0.73455021773453288</v>
      </c>
      <c r="C32">
        <f t="shared" si="5"/>
        <v>0.44802041509791007</v>
      </c>
      <c r="D32">
        <f t="shared" si="5"/>
        <v>0.38344204541548227</v>
      </c>
      <c r="E32">
        <f t="shared" si="1"/>
        <v>1.5660126782479253</v>
      </c>
      <c r="F32">
        <f t="shared" si="6"/>
        <v>0.26544978226546712</v>
      </c>
      <c r="G32">
        <f t="shared" ref="G32:G57" si="11">1-C32</f>
        <v>0.55197958490208987</v>
      </c>
      <c r="H32">
        <f t="shared" ref="H32:H57" si="12">1-D32</f>
        <v>0.61655795458451768</v>
      </c>
      <c r="I32">
        <f t="shared" si="3"/>
        <v>-0.8</v>
      </c>
      <c r="J32">
        <f t="shared" si="7"/>
        <v>0.16134589825445042</v>
      </c>
      <c r="K32">
        <f t="shared" ref="K32:K56" si="13">((C$9^2)*(G32/C32))*(((C32-C$11)^2)/((1-C$11)^2))</f>
        <v>0.11841864775924775</v>
      </c>
      <c r="L32">
        <f t="shared" ref="L32:L56" si="14">((D$9^2)*(H32/D32))*(((D32-D$11)^2)/((1-D$11)^2))</f>
        <v>9.1391954808511144E-2</v>
      </c>
      <c r="M32">
        <f t="shared" si="10"/>
        <v>0.3711565008222093</v>
      </c>
    </row>
    <row r="33" spans="1:13" x14ac:dyDescent="0.2">
      <c r="A33">
        <v>-0.6</v>
      </c>
      <c r="B33">
        <f t="shared" si="4"/>
        <v>0.76875960210000316</v>
      </c>
      <c r="C33">
        <f t="shared" si="5"/>
        <v>0.48347495501936366</v>
      </c>
      <c r="D33">
        <f t="shared" si="5"/>
        <v>0.41758713040625284</v>
      </c>
      <c r="E33">
        <f t="shared" si="1"/>
        <v>1.6698216875256195</v>
      </c>
      <c r="F33">
        <f t="shared" si="6"/>
        <v>0.23124039789999684</v>
      </c>
      <c r="G33">
        <f t="shared" si="11"/>
        <v>0.51652504498063634</v>
      </c>
      <c r="H33">
        <f t="shared" si="12"/>
        <v>0.58241286959374716</v>
      </c>
      <c r="I33">
        <f t="shared" si="3"/>
        <v>-0.6</v>
      </c>
      <c r="J33">
        <f t="shared" si="7"/>
        <v>0.15203748052854874</v>
      </c>
      <c r="K33">
        <f t="shared" si="13"/>
        <v>0.13414263055258507</v>
      </c>
      <c r="L33">
        <f t="shared" si="14"/>
        <v>0.1574226984640727</v>
      </c>
      <c r="M33">
        <f t="shared" si="10"/>
        <v>0.44360280954520653</v>
      </c>
    </row>
    <row r="34" spans="1:13" x14ac:dyDescent="0.2">
      <c r="A34">
        <v>-0.4</v>
      </c>
      <c r="B34">
        <f t="shared" si="4"/>
        <v>0.80020808447609415</v>
      </c>
      <c r="C34">
        <f t="shared" si="5"/>
        <v>0.52104987191003849</v>
      </c>
      <c r="D34">
        <f t="shared" si="5"/>
        <v>0.46203265155068762</v>
      </c>
      <c r="E34">
        <f t="shared" si="1"/>
        <v>1.7832906079368203</v>
      </c>
      <c r="F34">
        <f t="shared" si="6"/>
        <v>0.19979191552390585</v>
      </c>
      <c r="G34">
        <f t="shared" si="11"/>
        <v>0.47895012808996151</v>
      </c>
      <c r="H34">
        <f t="shared" si="12"/>
        <v>0.53796734844931238</v>
      </c>
      <c r="I34">
        <f t="shared" si="3"/>
        <v>-0.4</v>
      </c>
      <c r="J34">
        <f t="shared" si="7"/>
        <v>0.1405395904808476</v>
      </c>
      <c r="K34">
        <f t="shared" si="13"/>
        <v>0.14803896095889657</v>
      </c>
      <c r="L34">
        <f t="shared" si="14"/>
        <v>0.24954693411719728</v>
      </c>
      <c r="M34">
        <f t="shared" si="10"/>
        <v>0.53812548555694151</v>
      </c>
    </row>
    <row r="35" spans="1:13" x14ac:dyDescent="0.2">
      <c r="A35">
        <v>-0.2</v>
      </c>
      <c r="B35">
        <f t="shared" si="4"/>
        <v>0.82866798643404693</v>
      </c>
      <c r="C35">
        <f t="shared" si="5"/>
        <v>0.56013280215001782</v>
      </c>
      <c r="D35">
        <f t="shared" si="5"/>
        <v>0.51701786321067122</v>
      </c>
      <c r="E35">
        <f t="shared" si="1"/>
        <v>1.905818651794736</v>
      </c>
      <c r="F35">
        <f t="shared" si="6"/>
        <v>0.17133201356595307</v>
      </c>
      <c r="G35">
        <f t="shared" si="11"/>
        <v>0.43986719784998218</v>
      </c>
      <c r="H35">
        <f t="shared" si="12"/>
        <v>0.48298213678932878</v>
      </c>
      <c r="I35">
        <f t="shared" si="3"/>
        <v>-0.2</v>
      </c>
      <c r="J35">
        <f t="shared" si="7"/>
        <v>0.12767935335461678</v>
      </c>
      <c r="K35">
        <f t="shared" si="13"/>
        <v>0.15913875525078977</v>
      </c>
      <c r="L35">
        <f t="shared" si="14"/>
        <v>0.35915374351359008</v>
      </c>
      <c r="M35">
        <f t="shared" si="10"/>
        <v>0.64597185211899666</v>
      </c>
    </row>
    <row r="36" spans="1:13" x14ac:dyDescent="0.2">
      <c r="A36">
        <v>0</v>
      </c>
      <c r="B36">
        <f t="shared" si="5"/>
        <v>0.85405958095491497</v>
      </c>
      <c r="C36">
        <f t="shared" si="5"/>
        <v>0.60000000000000009</v>
      </c>
      <c r="D36">
        <f t="shared" si="5"/>
        <v>0.58091863792128362</v>
      </c>
      <c r="E36">
        <f t="shared" si="1"/>
        <v>2.0349782188761987</v>
      </c>
      <c r="F36">
        <f t="shared" si="6"/>
        <v>0.14594041904508503</v>
      </c>
      <c r="G36">
        <f t="shared" si="11"/>
        <v>0.39999999999999991</v>
      </c>
      <c r="H36">
        <f t="shared" si="12"/>
        <v>0.41908136207871638</v>
      </c>
      <c r="I36">
        <f t="shared" si="3"/>
        <v>0</v>
      </c>
      <c r="J36">
        <f t="shared" si="7"/>
        <v>0.11421997729123748</v>
      </c>
      <c r="K36">
        <f t="shared" si="13"/>
        <v>0.16666666666666663</v>
      </c>
      <c r="L36">
        <f t="shared" si="14"/>
        <v>0.4647378619572391</v>
      </c>
      <c r="M36">
        <f t="shared" si="10"/>
        <v>0.74562450591514318</v>
      </c>
    </row>
    <row r="37" spans="1:13" x14ac:dyDescent="0.2">
      <c r="A37">
        <v>0.2</v>
      </c>
      <c r="B37">
        <f t="shared" si="5"/>
        <v>0.87642778793317233</v>
      </c>
      <c r="C37">
        <f t="shared" si="5"/>
        <v>0.63986719784998236</v>
      </c>
      <c r="D37">
        <f t="shared" si="5"/>
        <v>0.64999999999999991</v>
      </c>
      <c r="E37">
        <f t="shared" si="1"/>
        <v>2.1662949857831544</v>
      </c>
      <c r="F37">
        <f t="shared" si="6"/>
        <v>0.12357221206682767</v>
      </c>
      <c r="G37">
        <f t="shared" si="11"/>
        <v>0.36013280215001764</v>
      </c>
      <c r="H37">
        <f t="shared" si="12"/>
        <v>0.35000000000000009</v>
      </c>
      <c r="I37">
        <f t="shared" si="3"/>
        <v>0.2</v>
      </c>
      <c r="J37">
        <f t="shared" si="7"/>
        <v>0.10080163788513746</v>
      </c>
      <c r="K37">
        <f t="shared" si="13"/>
        <v>0.1701515902456418</v>
      </c>
      <c r="L37">
        <f t="shared" si="14"/>
        <v>0.53846153846153844</v>
      </c>
      <c r="M37">
        <f t="shared" si="10"/>
        <v>0.8094147665923177</v>
      </c>
    </row>
    <row r="38" spans="1:13" x14ac:dyDescent="0.2">
      <c r="A38">
        <v>0.4</v>
      </c>
      <c r="B38">
        <f t="shared" si="5"/>
        <v>0.89591322050960165</v>
      </c>
      <c r="C38">
        <f t="shared" si="5"/>
        <v>0.67895012808996169</v>
      </c>
      <c r="D38">
        <f t="shared" si="5"/>
        <v>0.71908136207871642</v>
      </c>
      <c r="E38">
        <f t="shared" si="1"/>
        <v>2.2939447106782795</v>
      </c>
      <c r="F38">
        <f t="shared" si="6"/>
        <v>0.10408677949039835</v>
      </c>
      <c r="G38">
        <f t="shared" si="11"/>
        <v>0.32104987191003831</v>
      </c>
      <c r="H38">
        <f t="shared" si="12"/>
        <v>0.28091863792128358</v>
      </c>
      <c r="I38">
        <f t="shared" si="3"/>
        <v>0.4</v>
      </c>
      <c r="J38">
        <f t="shared" si="7"/>
        <v>8.7914361478314607E-2</v>
      </c>
      <c r="K38">
        <f t="shared" si="13"/>
        <v>0.16948655017065961</v>
      </c>
      <c r="L38">
        <f t="shared" si="14"/>
        <v>0.56009684516554614</v>
      </c>
      <c r="M38">
        <f t="shared" si="10"/>
        <v>0.8174977568145203</v>
      </c>
    </row>
    <row r="39" spans="1:13" x14ac:dyDescent="0.2">
      <c r="A39">
        <v>0.6</v>
      </c>
      <c r="B39">
        <f t="shared" si="5"/>
        <v>0.91272254304350975</v>
      </c>
      <c r="C39">
        <f t="shared" si="5"/>
        <v>0.71652504498063641</v>
      </c>
      <c r="D39">
        <f t="shared" si="5"/>
        <v>0.78298213678932871</v>
      </c>
      <c r="E39">
        <f t="shared" si="1"/>
        <v>2.412229724813475</v>
      </c>
      <c r="F39">
        <f t="shared" si="6"/>
        <v>8.7277456956490251E-2</v>
      </c>
      <c r="G39">
        <f t="shared" si="11"/>
        <v>0.28347495501936359</v>
      </c>
      <c r="H39">
        <f t="shared" si="12"/>
        <v>0.21701786321067129</v>
      </c>
      <c r="I39">
        <f t="shared" si="3"/>
        <v>0.6</v>
      </c>
      <c r="J39">
        <f t="shared" si="7"/>
        <v>7.589694995904428E-2</v>
      </c>
      <c r="K39">
        <f t="shared" si="13"/>
        <v>0.16492485631947335</v>
      </c>
      <c r="L39">
        <f t="shared" si="14"/>
        <v>0.52780035431703221</v>
      </c>
      <c r="M39">
        <f t="shared" si="10"/>
        <v>0.76862216059554989</v>
      </c>
    </row>
    <row r="40" spans="1:13" x14ac:dyDescent="0.2">
      <c r="A40">
        <v>0.8</v>
      </c>
      <c r="B40">
        <f t="shared" si="5"/>
        <v>0.92710163118811506</v>
      </c>
      <c r="C40">
        <f t="shared" si="5"/>
        <v>0.75197958490209005</v>
      </c>
      <c r="D40">
        <f t="shared" si="5"/>
        <v>0.83796734844931242</v>
      </c>
      <c r="E40">
        <f t="shared" si="1"/>
        <v>2.5170485645395173</v>
      </c>
      <c r="F40">
        <f t="shared" si="6"/>
        <v>7.2898368811884939E-2</v>
      </c>
      <c r="G40">
        <f t="shared" si="11"/>
        <v>0.24802041509790995</v>
      </c>
      <c r="H40">
        <f t="shared" si="12"/>
        <v>0.16203265155068758</v>
      </c>
      <c r="I40">
        <f t="shared" si="3"/>
        <v>0.8</v>
      </c>
      <c r="J40">
        <f t="shared" si="7"/>
        <v>6.495322651529517E-2</v>
      </c>
      <c r="K40">
        <f t="shared" si="13"/>
        <v>0.1570172752857083</v>
      </c>
      <c r="L40">
        <f t="shared" si="14"/>
        <v>0.4568263940867594</v>
      </c>
      <c r="M40">
        <f t="shared" si="10"/>
        <v>0.67879689588776282</v>
      </c>
    </row>
    <row r="41" spans="1:13" x14ac:dyDescent="0.2">
      <c r="A41">
        <v>1</v>
      </c>
      <c r="B41">
        <f t="shared" si="5"/>
        <v>0.9393134559830052</v>
      </c>
      <c r="C41">
        <f t="shared" si="5"/>
        <v>0.78484686290400396</v>
      </c>
      <c r="D41">
        <f t="shared" si="5"/>
        <v>0.88241286959374698</v>
      </c>
      <c r="E41">
        <f t="shared" si="1"/>
        <v>2.6065731884807564</v>
      </c>
      <c r="F41">
        <f t="shared" si="6"/>
        <v>6.0686544016994803E-2</v>
      </c>
      <c r="G41">
        <f t="shared" si="11"/>
        <v>0.21515313709599604</v>
      </c>
      <c r="H41">
        <f t="shared" si="12"/>
        <v>0.11758713040625302</v>
      </c>
      <c r="I41">
        <f t="shared" si="3"/>
        <v>1</v>
      </c>
      <c r="J41">
        <f t="shared" si="7"/>
        <v>5.5177130303086575E-2</v>
      </c>
      <c r="K41">
        <f t="shared" si="13"/>
        <v>0.14650994710013446</v>
      </c>
      <c r="L41">
        <f t="shared" si="14"/>
        <v>0.36898931976145488</v>
      </c>
      <c r="M41">
        <f t="shared" si="10"/>
        <v>0.57067639716467589</v>
      </c>
    </row>
    <row r="42" spans="1:13" x14ac:dyDescent="0.2">
      <c r="A42">
        <v>1.2</v>
      </c>
      <c r="B42">
        <f t="shared" si="5"/>
        <v>0.94962131515440285</v>
      </c>
      <c r="C42">
        <f t="shared" si="5"/>
        <v>0.81481982679921416</v>
      </c>
      <c r="D42">
        <f t="shared" si="5"/>
        <v>0.9165579545845175</v>
      </c>
      <c r="E42">
        <f t="shared" si="1"/>
        <v>2.6809990965381347</v>
      </c>
      <c r="F42">
        <f t="shared" si="6"/>
        <v>5.0378684845597155E-2</v>
      </c>
      <c r="G42">
        <f t="shared" si="11"/>
        <v>0.18518017320078584</v>
      </c>
      <c r="H42">
        <f t="shared" si="12"/>
        <v>8.3442045415482502E-2</v>
      </c>
      <c r="I42">
        <f t="shared" si="3"/>
        <v>1.2</v>
      </c>
      <c r="J42">
        <f t="shared" si="7"/>
        <v>4.6580082323924341E-2</v>
      </c>
      <c r="K42">
        <f t="shared" si="13"/>
        <v>0.13422971016384408</v>
      </c>
      <c r="L42">
        <f t="shared" si="14"/>
        <v>0.28251189109029401</v>
      </c>
      <c r="M42">
        <f t="shared" si="10"/>
        <v>0.46332168357806242</v>
      </c>
    </row>
    <row r="43" spans="1:13" x14ac:dyDescent="0.2">
      <c r="A43">
        <v>1.4</v>
      </c>
      <c r="B43">
        <f t="shared" si="5"/>
        <v>0.95827714953726595</v>
      </c>
      <c r="C43">
        <f t="shared" si="5"/>
        <v>0.84174711084686549</v>
      </c>
      <c r="D43">
        <f t="shared" si="5"/>
        <v>0.94177911245425427</v>
      </c>
      <c r="E43">
        <f t="shared" si="1"/>
        <v>2.7418033728383859</v>
      </c>
      <c r="F43">
        <f t="shared" si="6"/>
        <v>4.1722850462734051E-2</v>
      </c>
      <c r="G43">
        <f t="shared" si="11"/>
        <v>0.15825288915313451</v>
      </c>
      <c r="H43">
        <f t="shared" si="12"/>
        <v>5.8220887545745725E-2</v>
      </c>
      <c r="I43">
        <f t="shared" si="3"/>
        <v>1.4</v>
      </c>
      <c r="J43">
        <f t="shared" si="7"/>
        <v>3.9116393167500797E-2</v>
      </c>
      <c r="K43">
        <f t="shared" si="13"/>
        <v>0.12098119873602756</v>
      </c>
      <c r="L43">
        <f t="shared" si="14"/>
        <v>0.20785708650583359</v>
      </c>
      <c r="M43">
        <f t="shared" si="10"/>
        <v>0.36795467840936191</v>
      </c>
    </row>
    <row r="44" spans="1:13" x14ac:dyDescent="0.2">
      <c r="A44">
        <v>1.6</v>
      </c>
      <c r="B44">
        <f t="shared" si="5"/>
        <v>0.96551419604713118</v>
      </c>
      <c r="C44">
        <f t="shared" si="5"/>
        <v>0.8656147081071397</v>
      </c>
      <c r="D44">
        <f t="shared" si="5"/>
        <v>0.95987307687079193</v>
      </c>
      <c r="E44">
        <f t="shared" si="1"/>
        <v>2.7910019810250626</v>
      </c>
      <c r="F44">
        <f t="shared" si="6"/>
        <v>3.4485803952868821E-2</v>
      </c>
      <c r="G44">
        <f t="shared" si="11"/>
        <v>0.1343852918928603</v>
      </c>
      <c r="H44">
        <f t="shared" si="12"/>
        <v>4.012692312920807E-2</v>
      </c>
      <c r="I44">
        <f t="shared" si="3"/>
        <v>1.6</v>
      </c>
      <c r="J44">
        <f t="shared" si="7"/>
        <v>3.2704552806311724E-2</v>
      </c>
      <c r="K44">
        <f t="shared" si="13"/>
        <v>0.10747141274308948</v>
      </c>
      <c r="L44">
        <f t="shared" si="14"/>
        <v>0.14859588381763583</v>
      </c>
      <c r="M44">
        <f t="shared" si="10"/>
        <v>0.28877184936703704</v>
      </c>
    </row>
    <row r="45" spans="1:13" x14ac:dyDescent="0.2">
      <c r="A45">
        <v>1.80000000000001</v>
      </c>
      <c r="B45">
        <f t="shared" si="5"/>
        <v>0.97154304858189144</v>
      </c>
      <c r="C45">
        <f t="shared" si="5"/>
        <v>0.88651914807961085</v>
      </c>
      <c r="D45">
        <f t="shared" si="5"/>
        <v>0.97258399404226537</v>
      </c>
      <c r="E45">
        <f t="shared" si="1"/>
        <v>2.8306461907037677</v>
      </c>
      <c r="F45">
        <f t="shared" si="6"/>
        <v>2.8456951418108556E-2</v>
      </c>
      <c r="G45">
        <f t="shared" si="11"/>
        <v>0.11348085192038915</v>
      </c>
      <c r="H45">
        <f t="shared" si="12"/>
        <v>2.7416005957734635E-2</v>
      </c>
      <c r="I45">
        <f t="shared" si="3"/>
        <v>1.80000000000001</v>
      </c>
      <c r="J45">
        <f t="shared" si="7"/>
        <v>2.7243736752437724E-2</v>
      </c>
      <c r="K45">
        <f t="shared" si="13"/>
        <v>9.4267025332968393E-2</v>
      </c>
      <c r="L45">
        <f t="shared" si="14"/>
        <v>0.10409599837704528</v>
      </c>
      <c r="M45">
        <f t="shared" si="10"/>
        <v>0.2256067604624514</v>
      </c>
    </row>
    <row r="46" spans="1:13" x14ac:dyDescent="0.2">
      <c r="A46">
        <v>2.0000000000000102</v>
      </c>
      <c r="B46">
        <f t="shared" si="5"/>
        <v>0.97655021539891518</v>
      </c>
      <c r="C46">
        <f t="shared" si="5"/>
        <v>0.90463766238230692</v>
      </c>
      <c r="D46">
        <f t="shared" si="5"/>
        <v>0.98138210449619434</v>
      </c>
      <c r="E46">
        <f t="shared" si="1"/>
        <v>2.8625699822774164</v>
      </c>
      <c r="F46">
        <f t="shared" si="6"/>
        <v>2.3449784601084822E-2</v>
      </c>
      <c r="G46">
        <f t="shared" si="11"/>
        <v>9.5362337617693083E-2</v>
      </c>
      <c r="H46">
        <f t="shared" si="12"/>
        <v>1.8617895503805659E-2</v>
      </c>
      <c r="I46">
        <f t="shared" si="3"/>
        <v>2.0000000000000102</v>
      </c>
      <c r="J46">
        <f t="shared" si="7"/>
        <v>2.262577128564059E-2</v>
      </c>
      <c r="K46">
        <f t="shared" si="13"/>
        <v>8.1781289526499656E-2</v>
      </c>
      <c r="L46">
        <f t="shared" si="14"/>
        <v>7.1901477026160815E-2</v>
      </c>
      <c r="M46">
        <f t="shared" si="10"/>
        <v>0.17630853783830105</v>
      </c>
    </row>
    <row r="47" spans="1:13" x14ac:dyDescent="0.2">
      <c r="A47">
        <v>2.2000000000000099</v>
      </c>
      <c r="B47">
        <f t="shared" si="5"/>
        <v>0.98069838286586486</v>
      </c>
      <c r="C47">
        <f t="shared" si="5"/>
        <v>0.92019960870425277</v>
      </c>
      <c r="D47">
        <f t="shared" si="5"/>
        <v>0.98740965302653616</v>
      </c>
      <c r="E47">
        <f t="shared" si="1"/>
        <v>2.8883076445966536</v>
      </c>
      <c r="F47">
        <f t="shared" si="6"/>
        <v>1.9301617134135141E-2</v>
      </c>
      <c r="G47">
        <f t="shared" si="11"/>
        <v>7.9800391295747231E-2</v>
      </c>
      <c r="H47">
        <f t="shared" si="12"/>
        <v>1.259034697346384E-2</v>
      </c>
      <c r="I47">
        <f t="shared" si="3"/>
        <v>2.2000000000000099</v>
      </c>
      <c r="J47">
        <f t="shared" si="7"/>
        <v>1.8743246772599722E-2</v>
      </c>
      <c r="K47">
        <f t="shared" si="13"/>
        <v>7.028275302924622E-2</v>
      </c>
      <c r="L47">
        <f t="shared" si="14"/>
        <v>4.9185319233501786E-2</v>
      </c>
      <c r="M47">
        <f t="shared" si="10"/>
        <v>0.13821131903534772</v>
      </c>
    </row>
    <row r="48" spans="1:13" x14ac:dyDescent="0.2">
      <c r="A48">
        <v>2.4000000000000101</v>
      </c>
      <c r="B48">
        <f t="shared" si="5"/>
        <v>0.98412775541273834</v>
      </c>
      <c r="C48">
        <f t="shared" si="5"/>
        <v>0.93346184280486288</v>
      </c>
      <c r="D48">
        <f t="shared" si="5"/>
        <v>0.9915100955110081</v>
      </c>
      <c r="E48">
        <f t="shared" si="1"/>
        <v>2.9090996937286091</v>
      </c>
      <c r="F48">
        <f t="shared" si="6"/>
        <v>1.5872244587261664E-2</v>
      </c>
      <c r="G48">
        <f t="shared" si="11"/>
        <v>6.6538157195137115E-2</v>
      </c>
      <c r="H48">
        <f t="shared" si="12"/>
        <v>8.4899044889918951E-3</v>
      </c>
      <c r="I48">
        <f t="shared" si="3"/>
        <v>2.4000000000000101</v>
      </c>
      <c r="J48">
        <f t="shared" si="7"/>
        <v>1.5494606312192542E-2</v>
      </c>
      <c r="K48">
        <f t="shared" si="13"/>
        <v>5.9916891685251272E-2</v>
      </c>
      <c r="L48">
        <f t="shared" si="14"/>
        <v>3.3424631269727889E-2</v>
      </c>
      <c r="M48">
        <f t="shared" si="10"/>
        <v>0.10883612926717171</v>
      </c>
    </row>
    <row r="49" spans="1:13" x14ac:dyDescent="0.2">
      <c r="A49">
        <v>2.6000000000000099</v>
      </c>
      <c r="B49">
        <f t="shared" si="5"/>
        <v>0.98695800050284754</v>
      </c>
      <c r="C49">
        <f t="shared" si="5"/>
        <v>0.94468926372532303</v>
      </c>
      <c r="D49">
        <f t="shared" si="5"/>
        <v>0.99428620019278813</v>
      </c>
      <c r="E49">
        <f t="shared" si="1"/>
        <v>2.9259334644209587</v>
      </c>
      <c r="F49">
        <f t="shared" si="6"/>
        <v>1.3041999497152457E-2</v>
      </c>
      <c r="G49">
        <f t="shared" si="11"/>
        <v>5.5310736274676975E-2</v>
      </c>
      <c r="H49">
        <f t="shared" si="12"/>
        <v>5.7137998072118723E-3</v>
      </c>
      <c r="I49">
        <f t="shared" si="3"/>
        <v>2.6000000000000099</v>
      </c>
      <c r="J49">
        <f t="shared" si="7"/>
        <v>1.2786999350627703E-2</v>
      </c>
      <c r="K49">
        <f t="shared" si="13"/>
        <v>5.0733014831589783E-2</v>
      </c>
      <c r="L49">
        <f t="shared" si="14"/>
        <v>2.2612812720295909E-2</v>
      </c>
      <c r="M49">
        <f t="shared" si="10"/>
        <v>8.6132826902513393E-2</v>
      </c>
    </row>
    <row r="50" spans="1:13" x14ac:dyDescent="0.2">
      <c r="A50">
        <v>2.80000000000001</v>
      </c>
      <c r="B50">
        <f t="shared" si="5"/>
        <v>0.98929046573786827</v>
      </c>
      <c r="C50">
        <f t="shared" si="5"/>
        <v>0.95414065928090541</v>
      </c>
      <c r="D50">
        <f t="shared" si="5"/>
        <v>0.99615959077038485</v>
      </c>
      <c r="E50">
        <f t="shared" si="1"/>
        <v>2.9395907157891585</v>
      </c>
      <c r="F50">
        <f t="shared" si="6"/>
        <v>1.0709534262131726E-2</v>
      </c>
      <c r="G50">
        <f t="shared" si="11"/>
        <v>4.5859340719094588E-2</v>
      </c>
      <c r="H50">
        <f t="shared" si="12"/>
        <v>3.8404092296151493E-3</v>
      </c>
      <c r="I50">
        <f t="shared" si="3"/>
        <v>2.80000000000001</v>
      </c>
      <c r="J50">
        <f t="shared" si="7"/>
        <v>1.0537570677076578E-2</v>
      </c>
      <c r="K50">
        <f t="shared" si="13"/>
        <v>4.2711039606455732E-2</v>
      </c>
      <c r="L50">
        <f t="shared" si="14"/>
        <v>1.5252116601605381E-2</v>
      </c>
      <c r="M50">
        <f t="shared" si="10"/>
        <v>6.8500726885137697E-2</v>
      </c>
    </row>
    <row r="51" spans="1:13" x14ac:dyDescent="0.2">
      <c r="A51">
        <v>3.0000000000000102</v>
      </c>
      <c r="B51">
        <f t="shared" si="5"/>
        <v>0.99121044589552554</v>
      </c>
      <c r="C51">
        <f t="shared" si="5"/>
        <v>0.96205930145794705</v>
      </c>
      <c r="D51">
        <f t="shared" si="5"/>
        <v>0.9974210320703949</v>
      </c>
      <c r="E51">
        <f t="shared" si="1"/>
        <v>2.9506907794238675</v>
      </c>
      <c r="F51">
        <f t="shared" si="6"/>
        <v>8.7895541044744618E-3</v>
      </c>
      <c r="G51">
        <f t="shared" si="11"/>
        <v>3.7940698542052953E-2</v>
      </c>
      <c r="H51">
        <f t="shared" si="12"/>
        <v>2.5789679296051027E-3</v>
      </c>
      <c r="I51">
        <f t="shared" si="3"/>
        <v>3.0000000000000102</v>
      </c>
      <c r="J51">
        <f t="shared" si="7"/>
        <v>8.6737125292877925E-3</v>
      </c>
      <c r="K51">
        <f t="shared" si="13"/>
        <v>3.5785001719300692E-2</v>
      </c>
      <c r="L51">
        <f t="shared" si="14"/>
        <v>1.0266476363106168E-2</v>
      </c>
      <c r="M51">
        <f t="shared" si="10"/>
        <v>5.4725190611694653E-2</v>
      </c>
    </row>
    <row r="52" spans="1:13" x14ac:dyDescent="0.2">
      <c r="A52">
        <v>3.2000000000000099</v>
      </c>
      <c r="B52">
        <f t="shared" si="5"/>
        <v>0.99278936107772187</v>
      </c>
      <c r="C52">
        <f t="shared" si="5"/>
        <v>0.96866742176258902</v>
      </c>
      <c r="D52">
        <f t="shared" si="5"/>
        <v>0.9982691637903558</v>
      </c>
      <c r="E52">
        <f t="shared" si="1"/>
        <v>2.9597259466306669</v>
      </c>
      <c r="F52">
        <f t="shared" si="6"/>
        <v>7.2106389222781342E-3</v>
      </c>
      <c r="G52">
        <f t="shared" si="11"/>
        <v>3.133257823741098E-2</v>
      </c>
      <c r="H52">
        <f t="shared" si="12"/>
        <v>1.7308362096442043E-3</v>
      </c>
      <c r="I52">
        <f t="shared" si="3"/>
        <v>3.2000000000000099</v>
      </c>
      <c r="J52">
        <f t="shared" si="7"/>
        <v>7.1326725535238019E-3</v>
      </c>
      <c r="K52">
        <f t="shared" si="13"/>
        <v>2.9861967243660359E-2</v>
      </c>
      <c r="L52">
        <f t="shared" si="14"/>
        <v>6.9010941851377489E-3</v>
      </c>
      <c r="M52">
        <f t="shared" si="10"/>
        <v>4.3895733982321911E-2</v>
      </c>
    </row>
    <row r="53" spans="1:13" x14ac:dyDescent="0.2">
      <c r="A53">
        <v>3.4000000000000101</v>
      </c>
      <c r="B53">
        <f t="shared" si="5"/>
        <v>0.99408676692457454</v>
      </c>
      <c r="C53">
        <f t="shared" si="5"/>
        <v>0.97416362824123981</v>
      </c>
      <c r="D53">
        <f t="shared" si="5"/>
        <v>0.99883883924387784</v>
      </c>
      <c r="E53">
        <f t="shared" si="1"/>
        <v>2.9670892344096922</v>
      </c>
      <c r="F53">
        <f t="shared" si="6"/>
        <v>5.9132330754254614E-3</v>
      </c>
      <c r="G53">
        <f t="shared" si="11"/>
        <v>2.583637175876019E-2</v>
      </c>
      <c r="H53">
        <f t="shared" si="12"/>
        <v>1.1611607561221593E-3</v>
      </c>
      <c r="I53">
        <f t="shared" si="3"/>
        <v>3.4000000000000101</v>
      </c>
      <c r="J53">
        <f t="shared" si="7"/>
        <v>5.86079658694079E-3</v>
      </c>
      <c r="K53">
        <f t="shared" si="13"/>
        <v>2.4836201078015999E-2</v>
      </c>
      <c r="L53">
        <f t="shared" si="14"/>
        <v>4.6346282755266926E-3</v>
      </c>
      <c r="M53">
        <f t="shared" si="10"/>
        <v>3.5331625940483481E-2</v>
      </c>
    </row>
    <row r="54" spans="1:13" x14ac:dyDescent="0.2">
      <c r="A54">
        <v>3.6000000000000099</v>
      </c>
      <c r="B54">
        <f t="shared" si="5"/>
        <v>0.99515215880673291</v>
      </c>
      <c r="C54">
        <f t="shared" si="5"/>
        <v>0.97872240513850772</v>
      </c>
      <c r="D54">
        <f t="shared" si="5"/>
        <v>0.99922122477699782</v>
      </c>
      <c r="E54">
        <f t="shared" si="1"/>
        <v>2.9730957887222385</v>
      </c>
      <c r="F54">
        <f t="shared" si="6"/>
        <v>4.8478411932670884E-3</v>
      </c>
      <c r="G54">
        <f t="shared" si="11"/>
        <v>2.1277594861492277E-2</v>
      </c>
      <c r="H54">
        <f t="shared" si="12"/>
        <v>7.787752230021816E-4</v>
      </c>
      <c r="I54">
        <f t="shared" si="3"/>
        <v>3.6000000000000099</v>
      </c>
      <c r="J54">
        <f t="shared" si="7"/>
        <v>4.8125960023434663E-3</v>
      </c>
      <c r="K54">
        <f t="shared" si="13"/>
        <v>2.0599105956864476E-2</v>
      </c>
      <c r="L54">
        <f t="shared" si="14"/>
        <v>3.110595878704965E-3</v>
      </c>
      <c r="M54">
        <f t="shared" si="10"/>
        <v>2.8522297837912908E-2</v>
      </c>
    </row>
    <row r="55" spans="1:13" x14ac:dyDescent="0.2">
      <c r="A55">
        <v>3.80000000000001</v>
      </c>
      <c r="B55">
        <f t="shared" si="5"/>
        <v>0.9960265586799546</v>
      </c>
      <c r="C55">
        <f t="shared" si="5"/>
        <v>0.98249498325109585</v>
      </c>
      <c r="D55">
        <f t="shared" si="5"/>
        <v>0.99947777981631436</v>
      </c>
      <c r="E55">
        <f t="shared" si="1"/>
        <v>2.9779993217473648</v>
      </c>
      <c r="F55">
        <f t="shared" si="6"/>
        <v>3.9734413200454011E-3</v>
      </c>
      <c r="G55">
        <f t="shared" si="11"/>
        <v>1.7505016748904145E-2</v>
      </c>
      <c r="H55">
        <f t="shared" si="12"/>
        <v>5.2222018368563994E-4</v>
      </c>
      <c r="I55">
        <f t="shared" si="3"/>
        <v>3.80000000000001</v>
      </c>
      <c r="J55">
        <f t="shared" si="7"/>
        <v>3.9497629026528707E-3</v>
      </c>
      <c r="K55">
        <f t="shared" si="13"/>
        <v>1.7045719554026416E-2</v>
      </c>
      <c r="L55">
        <f t="shared" si="14"/>
        <v>2.0868549645937842E-3</v>
      </c>
      <c r="M55">
        <f t="shared" si="10"/>
        <v>2.3082337421273073E-2</v>
      </c>
    </row>
    <row r="56" spans="1:13" x14ac:dyDescent="0.2">
      <c r="A56">
        <v>4.0000000000000098</v>
      </c>
      <c r="B56">
        <f t="shared" si="5"/>
        <v>0.99674388982728312</v>
      </c>
      <c r="C56">
        <f t="shared" si="5"/>
        <v>0.98561103203032685</v>
      </c>
      <c r="D56">
        <f t="shared" si="5"/>
        <v>0.99964985922504423</v>
      </c>
      <c r="E56">
        <f t="shared" si="1"/>
        <v>2.9820047810826544</v>
      </c>
      <c r="F56">
        <f t="shared" si="6"/>
        <v>3.2561101727168751E-3</v>
      </c>
      <c r="G56">
        <f t="shared" si="11"/>
        <v>1.438896796967315E-2</v>
      </c>
      <c r="H56">
        <f t="shared" si="12"/>
        <v>3.5014077495576501E-4</v>
      </c>
      <c r="I56">
        <f t="shared" si="3"/>
        <v>4.0000000000000098</v>
      </c>
      <c r="J56">
        <f t="shared" si="7"/>
        <v>3.2402089572115896E-3</v>
      </c>
      <c r="K56">
        <f t="shared" si="13"/>
        <v>1.4078593284500743E-2</v>
      </c>
      <c r="L56">
        <f t="shared" si="14"/>
        <v>1.3996523991951447E-3</v>
      </c>
      <c r="M56">
        <f t="shared" si="10"/>
        <v>1.8718454640907475E-2</v>
      </c>
    </row>
    <row r="57" spans="1:13" x14ac:dyDescent="0.2">
      <c r="A57">
        <v>-1.1000000000000001</v>
      </c>
      <c r="B57">
        <f t="shared" si="5"/>
        <v>0.67895012808996169</v>
      </c>
      <c r="C57">
        <f t="shared" si="5"/>
        <v>0.39979191552390592</v>
      </c>
      <c r="D57">
        <f t="shared" si="5"/>
        <v>0.34839689424034276</v>
      </c>
      <c r="E57">
        <f t="shared" si="1"/>
        <v>1.4271389378542105</v>
      </c>
      <c r="F57">
        <f t="shared" si="6"/>
        <v>0.32104987191003831</v>
      </c>
      <c r="G57">
        <f t="shared" si="11"/>
        <v>0.60020808447609408</v>
      </c>
      <c r="H57">
        <f t="shared" si="12"/>
        <v>0.65160310575965719</v>
      </c>
    </row>
    <row r="59" spans="1:13" x14ac:dyDescent="0.2">
      <c r="A59" t="s">
        <v>4</v>
      </c>
      <c r="B59" t="s">
        <v>14</v>
      </c>
      <c r="C59" t="s">
        <v>13</v>
      </c>
      <c r="D59" s="2" t="s">
        <v>12</v>
      </c>
    </row>
    <row r="60" spans="1:13" x14ac:dyDescent="0.2">
      <c r="A60">
        <v>-4</v>
      </c>
      <c r="B60" s="3">
        <f>PRODUCT(F16:H16)</f>
        <v>0.40647756148251207</v>
      </c>
      <c r="C60" s="3">
        <f>PRODUCT(F16,C16,H16)</f>
        <v>0.11092551066123671</v>
      </c>
      <c r="D60" s="3">
        <f>PRODUCT(B16:D16)</f>
        <v>1.6775290982596548E-2</v>
      </c>
    </row>
    <row r="61" spans="1:13" x14ac:dyDescent="0.2">
      <c r="A61">
        <v>-1.1000000000000001</v>
      </c>
      <c r="B61" s="3">
        <f>PRODUCT(F57:H57)</f>
        <v>0.1255617868518232</v>
      </c>
      <c r="C61" s="3">
        <f>PRODUCT(F57,C57,H57)</f>
        <v>8.3635306788497885E-2</v>
      </c>
      <c r="D61" s="3">
        <f>PRODUCT(B57:D57)</f>
        <v>9.4568425229805339E-2</v>
      </c>
    </row>
    <row r="62" spans="1:13" x14ac:dyDescent="0.2">
      <c r="A62">
        <v>0</v>
      </c>
      <c r="B62" s="3">
        <f>PRODUCT(F36:H36)</f>
        <v>2.4464363838301143E-2</v>
      </c>
      <c r="C62" s="3">
        <f>PRODUCT(F36,C36,H36)</f>
        <v>3.669654575745173E-2</v>
      </c>
      <c r="D62" s="3">
        <f>PRODUCT(B36:D36)</f>
        <v>0.29768347708317089</v>
      </c>
    </row>
    <row r="63" spans="1:13" x14ac:dyDescent="0.2">
      <c r="A63">
        <v>1.6</v>
      </c>
      <c r="B63" s="3">
        <f>PRODUCT(F44:H44)</f>
        <v>1.8596360383927378E-4</v>
      </c>
      <c r="C63" s="3">
        <f>PRODUCT(F44,C44,H44)</f>
        <v>1.1978456004264331E-3</v>
      </c>
      <c r="D63" s="3">
        <f>PRODUCT(B44:D44)</f>
        <v>0.8022266797333365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threeItems</vt:lpstr>
      <vt:lpstr>Solns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Shear</dc:creator>
  <cp:lastModifiedBy>Derek Briggs</cp:lastModifiedBy>
  <dcterms:created xsi:type="dcterms:W3CDTF">2018-02-03T23:07:13Z</dcterms:created>
  <dcterms:modified xsi:type="dcterms:W3CDTF">2024-02-05T04:33:26Z</dcterms:modified>
</cp:coreProperties>
</file>